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rezni\Desktop\ККД-СПбКТ-2026\2025.02.02 ПРдБ\"/>
    </mc:Choice>
  </mc:AlternateContent>
  <xr:revisionPtr revIDLastSave="0" documentId="13_ncr:1_{26421C36-226B-46DF-A0AE-43E510ED2D1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Информация о Чемпионате" sheetId="8" r:id="rId1"/>
    <sheet name="Общая инфраструктура" sheetId="4" r:id="rId2"/>
    <sheet name="Рабочее место конкурсантов" sheetId="1" r:id="rId3"/>
    <sheet name="Расходные материалы" sheetId="5" r:id="rId4"/>
    <sheet name="Личный инструмент конкурсанта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6" i="1" l="1"/>
  <c r="G200" i="4"/>
  <c r="G191" i="4"/>
  <c r="G190" i="4"/>
  <c r="G120" i="4"/>
  <c r="G119" i="4"/>
  <c r="G118" i="4"/>
  <c r="G117" i="4"/>
  <c r="G116" i="4"/>
  <c r="G34" i="4"/>
  <c r="G33" i="4"/>
  <c r="G36" i="5"/>
  <c r="G35" i="5"/>
  <c r="A4" i="7" l="1"/>
  <c r="A2" i="7"/>
  <c r="C14" i="5"/>
  <c r="C13" i="5"/>
  <c r="C12" i="5"/>
  <c r="C11" i="5"/>
  <c r="G10" i="5"/>
  <c r="E10" i="5"/>
  <c r="C10" i="5"/>
  <c r="G9" i="5"/>
  <c r="E9" i="5"/>
  <c r="C9" i="5"/>
  <c r="C8" i="5"/>
  <c r="D7" i="5"/>
  <c r="C6" i="5"/>
  <c r="A4" i="5"/>
  <c r="A2" i="5"/>
  <c r="C14" i="1"/>
  <c r="C13" i="1"/>
  <c r="C12" i="1"/>
  <c r="C11" i="1"/>
  <c r="G10" i="1"/>
  <c r="E10" i="1"/>
  <c r="C10" i="1"/>
  <c r="G9" i="1"/>
  <c r="E9" i="1"/>
  <c r="C9" i="1"/>
  <c r="C8" i="1"/>
  <c r="D7" i="1"/>
  <c r="C6" i="1"/>
  <c r="A4" i="1"/>
  <c r="A2" i="1"/>
  <c r="A2" i="4"/>
  <c r="A4" i="4"/>
  <c r="C10" i="4"/>
  <c r="D7" i="4"/>
  <c r="C6" i="4"/>
  <c r="C11" i="4"/>
  <c r="G9" i="4"/>
  <c r="E9" i="4"/>
  <c r="C9" i="4"/>
  <c r="G10" i="4"/>
  <c r="E10" i="4"/>
  <c r="C12" i="4"/>
  <c r="C13" i="4"/>
  <c r="C14" i="4"/>
  <c r="C8" i="4"/>
  <c r="G71" i="1" l="1"/>
  <c r="G77" i="1"/>
  <c r="G79" i="1"/>
  <c r="G78" i="1"/>
  <c r="G67" i="1"/>
  <c r="G80" i="1"/>
  <c r="G75" i="1"/>
  <c r="G74" i="1"/>
  <c r="G73" i="1"/>
  <c r="G72" i="1"/>
  <c r="G18" i="5"/>
  <c r="G19" i="5"/>
  <c r="G17" i="5"/>
  <c r="G26" i="1"/>
  <c r="G27" i="1"/>
  <c r="G28" i="1"/>
  <c r="G30" i="1"/>
  <c r="G38" i="1"/>
  <c r="G46" i="1"/>
  <c r="G54" i="1"/>
  <c r="G63" i="1"/>
  <c r="G69" i="1"/>
  <c r="G31" i="1"/>
  <c r="G39" i="1"/>
  <c r="G47" i="1"/>
  <c r="G55" i="1"/>
  <c r="G64" i="1"/>
  <c r="G70" i="1"/>
  <c r="G29" i="1"/>
  <c r="G45" i="1"/>
  <c r="G62" i="1"/>
  <c r="G32" i="1"/>
  <c r="G40" i="1"/>
  <c r="G48" i="1"/>
  <c r="G56" i="1"/>
  <c r="G65" i="1"/>
  <c r="G81" i="1"/>
  <c r="G33" i="1"/>
  <c r="G41" i="1"/>
  <c r="G49" i="1"/>
  <c r="G57" i="1"/>
  <c r="G66" i="1"/>
  <c r="G34" i="1"/>
  <c r="G42" i="1"/>
  <c r="G50" i="1"/>
  <c r="G58" i="1"/>
  <c r="G35" i="1"/>
  <c r="G43" i="1"/>
  <c r="G51" i="1"/>
  <c r="G60" i="1"/>
  <c r="G36" i="1"/>
  <c r="G44" i="1"/>
  <c r="G52" i="1"/>
  <c r="G61" i="1"/>
  <c r="G37" i="1"/>
  <c r="G53" i="1"/>
  <c r="G68" i="1"/>
</calcChain>
</file>

<file path=xl/sharedStrings.xml><?xml version="1.0" encoding="utf-8"?>
<sst xmlns="http://schemas.openxmlformats.org/spreadsheetml/2006/main" count="1068" uniqueCount="276">
  <si>
    <t>Итоговое количество</t>
  </si>
  <si>
    <t>Единица измерения</t>
  </si>
  <si>
    <t>Количество</t>
  </si>
  <si>
    <t>Вид</t>
  </si>
  <si>
    <t>Краткие (рамочные) технические характеристики</t>
  </si>
  <si>
    <t xml:space="preserve">Наименование </t>
  </si>
  <si>
    <t>№</t>
  </si>
  <si>
    <t>Охрана труда и техника безопасности</t>
  </si>
  <si>
    <t xml:space="preserve">Требования к обеспечению зоны (коммуникации, площадь, сети, количество рабочих мест и др.): </t>
  </si>
  <si>
    <t>Рекомендации представителей индустрии (указывается конкретное оборудование)</t>
  </si>
  <si>
    <t>Основная информация о конкурсной площадке:</t>
  </si>
  <si>
    <t>Рабочее место Конкурсанта (расходные материалы по количеству конкурсантов)</t>
  </si>
  <si>
    <t>Расходные материалы на всех конкурсантов и экспертов</t>
  </si>
  <si>
    <t>Личный инструмент конкурсанта</t>
  </si>
  <si>
    <t xml:space="preserve">Примечание </t>
  </si>
  <si>
    <t>Общая зона конкурсной площадки (оборудование, инструмент, мебель)</t>
  </si>
  <si>
    <t>Комната Экспертов (включая комнату Главного эксперта) (оборудование, инструмент, мебель) (по количеству экспертов)</t>
  </si>
  <si>
    <t xml:space="preserve">Количество рабочих мест: </t>
  </si>
  <si>
    <t>Компетенция</t>
  </si>
  <si>
    <t>Даты проведения</t>
  </si>
  <si>
    <t>Главный эксперт</t>
  </si>
  <si>
    <t>Количество рабочих мест</t>
  </si>
  <si>
    <t>Электронная почта ГЭ</t>
  </si>
  <si>
    <t>Базовая организация расположения конкурсной площадки</t>
  </si>
  <si>
    <r>
      <t>Адрес базовой организации:</t>
    </r>
    <r>
      <rPr>
        <b/>
        <sz val="12"/>
        <color rgb="FFFF0000"/>
        <rFont val="Times New Roman"/>
        <family val="1"/>
        <charset val="204"/>
      </rPr>
      <t xml:space="preserve"> </t>
    </r>
  </si>
  <si>
    <t xml:space="preserve">Даты проведения: </t>
  </si>
  <si>
    <r>
      <t>Главный эксперт:</t>
    </r>
    <r>
      <rPr>
        <b/>
        <sz val="12"/>
        <color rgb="FFFF0000"/>
        <rFont val="Times New Roman"/>
        <family val="1"/>
        <charset val="204"/>
      </rPr>
      <t xml:space="preserve"> </t>
    </r>
  </si>
  <si>
    <t>Субъект Российской Федерации:</t>
  </si>
  <si>
    <t>Базовая организация расположения конкурсной площадки:</t>
  </si>
  <si>
    <t>Инфраструктурный лист для оснащения конкурсной площадки</t>
  </si>
  <si>
    <t>по компетенции</t>
  </si>
  <si>
    <t>Наименование этапа Чемпионата</t>
  </si>
  <si>
    <t>Адрес конкурсной площадки</t>
  </si>
  <si>
    <t>Электронная почта ТАП</t>
  </si>
  <si>
    <t xml:space="preserve">Технический администратор площадки: </t>
  </si>
  <si>
    <t>Рабочее место Конкурсанта (основное оборудование, вспомогательное оборудование, инструмент (по количеству рабочих мест))</t>
  </si>
  <si>
    <t>Моб.телефон ГЭ</t>
  </si>
  <si>
    <t>Моб.телефон ТАП</t>
  </si>
  <si>
    <t>Технический администратор площадки</t>
  </si>
  <si>
    <t>Количество экспертов (ЭН+ГЭ+ИЭ) + ТАП:</t>
  </si>
  <si>
    <t>ЭН - эксперт-наставник</t>
  </si>
  <si>
    <t>ГЭ - главный эксперт</t>
  </si>
  <si>
    <t>ИЭ - индустриальный эксперт</t>
  </si>
  <si>
    <t>ТАП - технический администратор площадки</t>
  </si>
  <si>
    <t>Субъект РФ (регион проведения)</t>
  </si>
  <si>
    <t xml:space="preserve">Количество конкурсантов </t>
  </si>
  <si>
    <t xml:space="preserve">Количество конкурсантов: </t>
  </si>
  <si>
    <t>Количество экспертов (ГЭ+ЭН+ИЭ)+ТАП</t>
  </si>
  <si>
    <t>Офисный стол</t>
  </si>
  <si>
    <t>Мебель</t>
  </si>
  <si>
    <t>шт</t>
  </si>
  <si>
    <t>Офисный стул</t>
  </si>
  <si>
    <t>ПО</t>
  </si>
  <si>
    <t>На усмотрение организатора</t>
  </si>
  <si>
    <t>Текстовый редактор</t>
  </si>
  <si>
    <t>шт.</t>
  </si>
  <si>
    <t>А4</t>
  </si>
  <si>
    <t>Огнетушитель</t>
  </si>
  <si>
    <t>ОУ-1</t>
  </si>
  <si>
    <t>Охрана труда</t>
  </si>
  <si>
    <t>Аптечка первой помощи</t>
  </si>
  <si>
    <t>Для сотрудников</t>
  </si>
  <si>
    <t>Кулер с питьевой водой или бутылированная вода</t>
  </si>
  <si>
    <t xml:space="preserve">Бумага </t>
  </si>
  <si>
    <t>Расходные материалы</t>
  </si>
  <si>
    <t>Ручка шариковая</t>
  </si>
  <si>
    <t>Скрепки</t>
  </si>
  <si>
    <t>Коробка</t>
  </si>
  <si>
    <t>Файл канцелярский</t>
  </si>
  <si>
    <t>Пачка</t>
  </si>
  <si>
    <t>Региональный этап чемпионат по профессиональному мастерству "Профессионалы" в 2026 г.</t>
  </si>
  <si>
    <t>Санкт-Петербург</t>
  </si>
  <si>
    <t>Санкт-Петербургский колледж телекоммуникаций им. Э.Т. Кренкеля ФГБОУ ВО "Санкт-Петербургский государственный университет телекоммуникаций им. проф. М.А.Бонч-Бруевича"</t>
  </si>
  <si>
    <t>г. Санкт-Петербург, наб. реки Мойки, д. 61, лит. А.</t>
  </si>
  <si>
    <t>Кривоносова Наталья Викторовна</t>
  </si>
  <si>
    <t>nvkrivonosowa@mail.ru</t>
  </si>
  <si>
    <t>+7(952)385-42-25</t>
  </si>
  <si>
    <t>Площадь зоны: 96 кв.м.</t>
  </si>
  <si>
    <t>Освещение: верхнее искусственное освещение 300 люкс</t>
  </si>
  <si>
    <t>Интернет : Подключение к проводному интернету</t>
  </si>
  <si>
    <t xml:space="preserve">Электричество: 3 подключения к сети  по (220 Вольт)	</t>
  </si>
  <si>
    <t>Контур заземления для электропитания и сети слаботочных подключений: не требуется</t>
  </si>
  <si>
    <t>Покрытие пола: линолеум  - 96 м2 на всю зону</t>
  </si>
  <si>
    <t>Подведение/ отведение ГХВС: не требуется</t>
  </si>
  <si>
    <t>Подведение сжатого воздуха: не требуется</t>
  </si>
  <si>
    <t>Контур заземления для электропитания и сети слаботочных подключений (при необходимости): требуется</t>
  </si>
  <si>
    <t>Интернет : Проводной Интернет - 1 точка. Общая пропускная способность 1Гбит/сек</t>
  </si>
  <si>
    <r>
      <t>Площадь зоны: 146</t>
    </r>
    <r>
      <rPr>
        <sz val="11"/>
        <color rgb="FF000000"/>
        <rFont val="Times New Roman&quot;"/>
      </rPr>
      <t xml:space="preserve"> кв.м.</t>
    </r>
  </si>
  <si>
    <r>
      <t xml:space="preserve">Электричество: </t>
    </r>
    <r>
      <rPr>
        <sz val="11"/>
        <rFont val="Times New Roman"/>
        <family val="1"/>
        <charset val="204"/>
      </rPr>
      <t>5</t>
    </r>
    <r>
      <rPr>
        <sz val="11"/>
        <rFont val="Times New Roman"/>
        <family val="1"/>
      </rPr>
      <t xml:space="preserve"> подключений к сети (220 Вольт)       </t>
    </r>
  </si>
  <si>
    <r>
      <t xml:space="preserve">Покрытие пола: </t>
    </r>
    <r>
      <rPr>
        <sz val="11"/>
        <rFont val="Times New Roman&quot;"/>
      </rPr>
      <t>линолеум  - на всю зону</t>
    </r>
  </si>
  <si>
    <t>Электричество: 13 точек 220Вольт, суммарная мощность исходя из пиковой нагрузки используемого оборудования</t>
  </si>
  <si>
    <t>ЦПУ:
- Intel Core i5-12400 @ 4.40 ГГц
- количество физических ядер - 6
- количество потоков - 12
Сетевой адаптер: 
- технология Ethernet - 10/100/1000 mbps
ОЗУ: 
- 16 ГБ
Графический адаптер: 
- интегрированный Intel UHD Graphics 730
ПЗУ:
- SSD 512ГБ</t>
  </si>
  <si>
    <t>Коммутатор</t>
  </si>
  <si>
    <t>Eltex MES2324B</t>
  </si>
  <si>
    <t>Оборудование IT</t>
  </si>
  <si>
    <t>Wi-Fi маршрутизатор</t>
  </si>
  <si>
    <t>Xiaomi Mi 4</t>
  </si>
  <si>
    <t>Офисный стол 70*140</t>
  </si>
  <si>
    <t>Стол компьютерый</t>
  </si>
  <si>
    <t>Стол компьютерный 61*101</t>
  </si>
  <si>
    <t>Кресло компьютерное</t>
  </si>
  <si>
    <t>Кулер</t>
  </si>
  <si>
    <t>Кулер 19 л (холодная вода)</t>
  </si>
  <si>
    <t>Оборудование</t>
  </si>
  <si>
    <t>Короб для системного блока</t>
  </si>
  <si>
    <t>Короб для системного блока 200*500</t>
  </si>
  <si>
    <t>Флипчарт</t>
  </si>
  <si>
    <t>Флипчарт 70*100</t>
  </si>
  <si>
    <t>Комод</t>
  </si>
  <si>
    <t>Комод 45*90</t>
  </si>
  <si>
    <t>Проектор</t>
  </si>
  <si>
    <t>Проектор Epson EB-X31</t>
  </si>
  <si>
    <t>Проектор мультимедйный</t>
  </si>
  <si>
    <t>Проектор BenQ MX808STH</t>
  </si>
  <si>
    <t>Экран для проектора</t>
  </si>
  <si>
    <t>Экран для проектора 205*275</t>
  </si>
  <si>
    <t>Экран мультимедийный</t>
  </si>
  <si>
    <t>Экран мультимедийный 175*125</t>
  </si>
  <si>
    <t>Колонки</t>
  </si>
  <si>
    <t>SVEN MC-10</t>
  </si>
  <si>
    <t>Серверный шкаф</t>
  </si>
  <si>
    <t>Серверный шкаф 60*60 (включая пилот на 8 розеток и терминал Aten)</t>
  </si>
  <si>
    <t>Презентер</t>
  </si>
  <si>
    <t>Пульт для презентаций Oklick</t>
  </si>
  <si>
    <t>Маркерная доска</t>
  </si>
  <si>
    <t>Маркерная доска 100*300</t>
  </si>
  <si>
    <t>Щит электрический</t>
  </si>
  <si>
    <t>IEK MKM14-N-12-31-ZL</t>
  </si>
  <si>
    <t>Дезинфектор</t>
  </si>
  <si>
    <t>HOR-D-004-A</t>
  </si>
  <si>
    <t>Обеззараживатель воздуха</t>
  </si>
  <si>
    <t>Veсtor-K</t>
  </si>
  <si>
    <t>Мусорная корзина</t>
  </si>
  <si>
    <t xml:space="preserve">Монитор </t>
  </si>
  <si>
    <t>ABR W View 24 MS238HQ-i1</t>
  </si>
  <si>
    <t>Мышь для компьютера оптическая</t>
  </si>
  <si>
    <t>Мышь проводная Genius KM-170</t>
  </si>
  <si>
    <t>Клавиатура</t>
  </si>
  <si>
    <t>Клавиатура проводная Genius KM-170</t>
  </si>
  <si>
    <t>Кабель для подключения монитора VGA</t>
  </si>
  <si>
    <t>Кабель для подключения монитора VGA-VGA, 1,5 М</t>
  </si>
  <si>
    <t>Сплиттер VGA сигнала</t>
  </si>
  <si>
    <t>Сплиттер VGA сигнала на 2 разъема</t>
  </si>
  <si>
    <t>Кабель для подключения монитора HDMI</t>
  </si>
  <si>
    <t>Кабель для подключения монитора HDMI-HDMI, 1,5 М</t>
  </si>
  <si>
    <t>ПО операционная система</t>
  </si>
  <si>
    <t>Microsoft Windows 11</t>
  </si>
  <si>
    <t>ПО для просмотра документов в формате PDF</t>
  </si>
  <si>
    <t>Adobe Reader 2025.001.20997</t>
  </si>
  <si>
    <t>ПО для архивации</t>
  </si>
  <si>
    <t>7-Zip 25.01</t>
  </si>
  <si>
    <t>ПО офисный пакет</t>
  </si>
  <si>
    <t>Microsoft Office 2021</t>
  </si>
  <si>
    <t>ПО веб-браузер</t>
  </si>
  <si>
    <t>Яндекс Браузер 25.10.1.1223</t>
  </si>
  <si>
    <t>Google Chrome 143.0.7499.147</t>
  </si>
  <si>
    <t>ПО редактор диаграмм</t>
  </si>
  <si>
    <t>ПО Microsoft Visio Pro 2021</t>
  </si>
  <si>
    <t>draw.io 29.0.3</t>
  </si>
  <si>
    <t>ПО Git</t>
  </si>
  <si>
    <t>Программное обеспечение Git  2.52.0</t>
  </si>
  <si>
    <t>ПО .NET</t>
  </si>
  <si>
    <t>Программная платформа .NET 10.0 включая следующие компоненты:
-Avalonia                                                                                                          -NET Framework Core                                                                                                                              -NET Framework Tools                                                                                                                              -NET Framework Design</t>
  </si>
  <si>
    <t>ПО среда разработки</t>
  </si>
  <si>
    <t>Набор средств разработки</t>
  </si>
  <si>
    <t>Программное обеспечение Electron 41.0.0</t>
  </si>
  <si>
    <t>Программное обеспечение Vue.js v3.5.25</t>
  </si>
  <si>
    <t>Программное обеспечение Node.js v24.12.0</t>
  </si>
  <si>
    <t>Программное обеспечение WebStorm 2025.3</t>
  </si>
  <si>
    <t>ORM-инструмент</t>
  </si>
  <si>
    <t>Программное обеспечение Hibernate ORM 7.2</t>
  </si>
  <si>
    <t>Программное обеспечение Azul Zulu JDK FX 17.62.17 (Java 17.0.17)</t>
  </si>
  <si>
    <t>Программное обеспечение IntelliJ IDEA 2025.3</t>
  </si>
  <si>
    <t>Программное обеспечение ПО Eclipse IDE for Java Developers 2025-12 R</t>
  </si>
  <si>
    <t>Библиотека</t>
  </si>
  <si>
    <t xml:space="preserve"> -SQLAlchemy        2.0.45                                                                                    - JDBC (Java Database Connectivity)                                                               - ADO.NET                                                                                               - ODBC (Open Database Connectivity)                                              - MySQL Connector/C++</t>
  </si>
  <si>
    <t xml:space="preserve">Программное обеспечение </t>
  </si>
  <si>
    <r>
      <t xml:space="preserve"> - Django; 6.0</t>
    </r>
    <r>
      <rPr>
        <sz val="10"/>
        <rFont val="Calibri"/>
        <family val="2"/>
        <charset val="204"/>
      </rPr>
      <t xml:space="preserve">
</t>
    </r>
    <r>
      <rPr>
        <sz val="10"/>
        <rFont val="Times New Roman"/>
        <family val="1"/>
        <charset val="204"/>
      </rPr>
      <t xml:space="preserve"> - docxtpl; 0.20.2</t>
    </r>
    <r>
      <rPr>
        <sz val="10"/>
        <rFont val="Calibri"/>
        <family val="2"/>
        <charset val="204"/>
      </rPr>
      <t xml:space="preserve">
</t>
    </r>
    <r>
      <rPr>
        <sz val="10"/>
        <rFont val="Times New Roman"/>
        <family val="1"/>
        <charset val="204"/>
      </rPr>
      <t xml:space="preserve"> - mysqlclient; 2.2.7</t>
    </r>
    <r>
      <rPr>
        <sz val="10"/>
        <rFont val="Calibri"/>
        <family val="2"/>
        <charset val="204"/>
      </rPr>
      <t xml:space="preserve">
</t>
    </r>
    <r>
      <rPr>
        <sz val="10"/>
        <rFont val="Times New Roman"/>
        <family val="1"/>
        <charset val="204"/>
      </rPr>
      <t xml:space="preserve"> - openCV-python; 4.12.0.88 </t>
    </r>
    <r>
      <rPr>
        <sz val="10"/>
        <rFont val="Calibri"/>
        <family val="2"/>
        <charset val="204"/>
      </rPr>
      <t xml:space="preserve">
</t>
    </r>
    <r>
      <rPr>
        <sz val="10"/>
        <rFont val="Times New Roman"/>
        <family val="1"/>
        <charset val="204"/>
      </rPr>
      <t xml:space="preserve"> - qrcode;  8.2</t>
    </r>
    <r>
      <rPr>
        <sz val="10"/>
        <rFont val="Calibri"/>
        <family val="2"/>
        <charset val="204"/>
      </rPr>
      <t xml:space="preserve">
</t>
    </r>
    <r>
      <rPr>
        <sz val="10"/>
        <rFont val="Times New Roman"/>
        <family val="1"/>
        <charset val="204"/>
      </rPr>
      <t xml:space="preserve"> - requests; 2.32.5</t>
    </r>
    <r>
      <rPr>
        <sz val="10"/>
        <rFont val="Calibri"/>
        <family val="2"/>
        <charset val="204"/>
      </rPr>
      <t xml:space="preserve">
</t>
    </r>
    <r>
      <rPr>
        <sz val="10"/>
        <rFont val="Times New Roman"/>
        <family val="1"/>
        <charset val="204"/>
      </rPr>
      <t xml:space="preserve"> - segno;  1.6.6</t>
    </r>
  </si>
  <si>
    <t>Программное обеспечение PyCharm Professional 2025.3</t>
  </si>
  <si>
    <t>Программное обеспечение текстовый редактор Notepad++ v8.8.9</t>
  </si>
  <si>
    <t>Клиент для работы с API</t>
  </si>
  <si>
    <t>Программное обеспечение Postman 7.0.9</t>
  </si>
  <si>
    <t>ПО СУБД</t>
  </si>
  <si>
    <t>SQL Server Management Studio 19.3.4.0</t>
  </si>
  <si>
    <t>Ред База Данных. Промышленная редакция 5.1.3</t>
  </si>
  <si>
    <t>pgAdmin 4 v9.11</t>
  </si>
  <si>
    <t>MySQL Workbench 8.0.45</t>
  </si>
  <si>
    <t>Программное обеспечение JetBrains Rider 2025.3.1
Включая следующие компоненты:
 - Web Development;
 - Database Tools;
 - Version Controls;
 - Rider Xamarin Android Support;
 - AvaloniaRider.</t>
  </si>
  <si>
    <t>Программное обеспечение Android Studio v2025.2.2.3 , включая следующие компоненты:
 - Android SDK Tools;
 - Android SDK Platform-Tools;
 - Android SDK Build-Tools;
 - Android SDK Platform;
 - USB Driver.</t>
  </si>
  <si>
    <t>Android 10 SDK</t>
  </si>
  <si>
    <t>Программное обеспечение для записи экрана</t>
  </si>
  <si>
    <t>OBS Studio 32.0.4</t>
  </si>
  <si>
    <t>ЦПУ:
- AMD Ryzen 7 2700 @ 3.20 ГГц
- количество физических ядер - 8
- количество потоков - 16
Сетевой адаптер: 
- технология Ethernet - 10/100/1000 mbps
ОЗУ: 
- 16 ГБ
Графический адаптер: 
- NVIDIA GeForce GTX 1650
- возможность подключения двух независимых мониторов
ПЗУ:
- SSD 256ГБ
- HDD 1 ТБ</t>
  </si>
  <si>
    <t>Benq GW2475T</t>
  </si>
  <si>
    <t xml:space="preserve">шт. ( на 1 раб.место) </t>
  </si>
  <si>
    <t>Мышь проводная Logitech B100</t>
  </si>
  <si>
    <t>Клавиатура проводная Logitech K120</t>
  </si>
  <si>
    <t>Интерфейсный кабель для подключения монитора</t>
  </si>
  <si>
    <t>HDMI-HDMI</t>
  </si>
  <si>
    <t>DisplayPort-HDMI</t>
  </si>
  <si>
    <t>Планшет с ОС Android</t>
  </si>
  <si>
    <t>Планшет Lenovo TB-X606F Android 10, включая интерфейсный кабель для подключения к ПК</t>
  </si>
  <si>
    <t>Кабель питания</t>
  </si>
  <si>
    <t>Кабель питания CEE 7/7 - IEC 320 C13</t>
  </si>
  <si>
    <t>Персональный компьютер в сборе</t>
  </si>
  <si>
    <r>
      <t>Программное обеспечение Microsoft Visual Studio Community 2022 г. ,включая следующие компоненты:
- .NET desktop development Workload;
- Universal Windows Platform development Workload;
- Python development Workload;
- Data storage and processing Workload.
- Asp.Net and web development
- Visual C++ Redistributable</t>
    </r>
    <r>
      <rPr>
        <sz val="10"/>
        <rFont val="Calibri"/>
        <family val="2"/>
        <charset val="204"/>
      </rPr>
      <t xml:space="preserve">
</t>
    </r>
    <r>
      <rPr>
        <sz val="10"/>
        <rFont val="Times New Roman"/>
        <family val="1"/>
        <charset val="204"/>
      </rPr>
      <t>- Python 3.14.2 + pip</t>
    </r>
  </si>
  <si>
    <t>Папка-конверт на кнопке А4</t>
  </si>
  <si>
    <t xml:space="preserve">шт. ( на 1 конкурсанта) </t>
  </si>
  <si>
    <t>Ручка</t>
  </si>
  <si>
    <t>Белая, А4</t>
  </si>
  <si>
    <t>Белая, А4, пачка 500 листов</t>
  </si>
  <si>
    <t>Степлер + скобы</t>
  </si>
  <si>
    <t>Ножницы</t>
  </si>
  <si>
    <t>Нож канцелярский</t>
  </si>
  <si>
    <t>Стикеры</t>
  </si>
  <si>
    <t xml:space="preserve">С клейкой полосой. 100 шт.. в блоке. </t>
  </si>
  <si>
    <t>Блок</t>
  </si>
  <si>
    <t>Клейкая лента прозрачная</t>
  </si>
  <si>
    <t>50 мм ширина</t>
  </si>
  <si>
    <t>Зажим для бумаг</t>
  </si>
  <si>
    <t>32 мм, 12 шт.. в упаковке</t>
  </si>
  <si>
    <t>Упаковка</t>
  </si>
  <si>
    <t>Линейка 30 см</t>
  </si>
  <si>
    <t>30 см, метрическая</t>
  </si>
  <si>
    <t>не предусмотрен</t>
  </si>
  <si>
    <t>Комната Конкурсантов (оборудование, инструмент, мебель) (по количеству конкурсантов)</t>
  </si>
  <si>
    <t>Площадь зоны: 50 кв.м.</t>
  </si>
  <si>
    <t xml:space="preserve">Электричество: 1 подключение к сети  по (220 Вольт)	</t>
  </si>
  <si>
    <t>Покрытие пола: паркет  - 50 м2 на всю зону</t>
  </si>
  <si>
    <t>Парта ученическая</t>
  </si>
  <si>
    <t>Парта ученическая 120*50</t>
  </si>
  <si>
    <t>Стол преподавателя</t>
  </si>
  <si>
    <t>Стол преподавателя 60*121</t>
  </si>
  <si>
    <t>Стул офисный</t>
  </si>
  <si>
    <t>Стул ученический</t>
  </si>
  <si>
    <t>Шкаф с индивидуальными ячейками</t>
  </si>
  <si>
    <t>Шкаф с индивидуальными ячейками 80*50</t>
  </si>
  <si>
    <t>Вешалка</t>
  </si>
  <si>
    <t>Вешалка напольная металлическая</t>
  </si>
  <si>
    <t xml:space="preserve">шт </t>
  </si>
  <si>
    <t>Мусорная корзина пластиковая</t>
  </si>
  <si>
    <r>
      <t xml:space="preserve">Площадь зоны: </t>
    </r>
    <r>
      <rPr>
        <sz val="11"/>
        <rFont val="Times New Roman&quot;"/>
      </rPr>
      <t>39 кв.м.</t>
    </r>
  </si>
  <si>
    <r>
      <t>Электричество:14</t>
    </r>
    <r>
      <rPr>
        <sz val="11"/>
        <rFont val="Times New Roman&quot;"/>
      </rPr>
      <t xml:space="preserve"> подключений к сети (220 Вольт)        </t>
    </r>
  </si>
  <si>
    <r>
      <t xml:space="preserve">Покрытие пола: </t>
    </r>
    <r>
      <rPr>
        <sz val="11"/>
        <rFont val="Times New Roman&quot;"/>
      </rPr>
      <t>линолеум  -  на всю зону</t>
    </r>
  </si>
  <si>
    <t>Компьютерный монитор</t>
  </si>
  <si>
    <t>МФУ лазерное</t>
  </si>
  <si>
    <t>Kyocera M2235dn</t>
  </si>
  <si>
    <t>Интерфейсный кабель для подключения МФУ</t>
  </si>
  <si>
    <t>USB - USB</t>
  </si>
  <si>
    <t>Стол преподавателя 70*120</t>
  </si>
  <si>
    <t>Парта ученическая 50*120</t>
  </si>
  <si>
    <t>Проектор Epson EB-X18</t>
  </si>
  <si>
    <t>Экран для проектора 166*214</t>
  </si>
  <si>
    <t xml:space="preserve">Коммутатор </t>
  </si>
  <si>
    <t>Кабель для подключения монитора VGA-VGA, 15 М</t>
  </si>
  <si>
    <t>Программное обеспечение DataGrip 2025.3</t>
  </si>
  <si>
    <t>Программные решения для бизнеса</t>
  </si>
  <si>
    <t>02 февраля 2026 года - 06 января 2026 года</t>
  </si>
  <si>
    <t xml:space="preserve">Андреев Михаил Дмитриевич </t>
  </si>
  <si>
    <t xml:space="preserve">andreev.mikhail.8b@gmail.com </t>
  </si>
  <si>
    <t>+79201595535</t>
  </si>
  <si>
    <t>Sublime Text 4 Сборка 4200</t>
  </si>
  <si>
    <t>Программное обеспечение текстовый редактор Visual Studio Code 1.107.1 включая:
- C#
- C# Dev Kit
- C# Extensions
- C# XML Documentation Comments
- NuGet Package Manage
- .NET Extension Pack
- .NET MAUI
- Avalonia for VSCode
- Avalonia Templates
- Xml Complete
- Python
- Python Debugger
- Python Extension Pack
- Python Path
- Python Test Explorer for Visual Studio Code
- Qt for Python
- Python Development Extensions Pack
- Java Extension Pack
- Spring Boot Extension Pack
- Maven for Java
- Java
- Gradle for Java
- gradle-build-helper
- Live Server
- Path Intellisense
- npm Intellisense 
- Vue.js Extension Pack
- Angular Essentials
- Flutter
- React Native Tools
- React Extension Pack
- Node Essentials
- Next.js CLI</t>
  </si>
  <si>
    <t>Среда для разработки графических интерфейсов</t>
  </si>
  <si>
    <t>Qt Designer 6</t>
  </si>
  <si>
    <t>Система управления программным обеспечением</t>
  </si>
  <si>
    <t>CLI Chocolatey 2.6.0</t>
  </si>
  <si>
    <t>Qt Design Studio 4.8.1</t>
  </si>
  <si>
    <t>Qt Creator 18.0.1</t>
  </si>
  <si>
    <t>Программное обеспечение e(fx)clipse 3.8.0</t>
  </si>
  <si>
    <t>Программное обеспечение Next.js 16.1.1</t>
  </si>
  <si>
    <r>
      <t>Программное обеспечение Dart SDK</t>
    </r>
    <r>
      <rPr>
        <sz val="10"/>
        <color theme="1"/>
        <rFont val="Times New Roman"/>
        <family val="1"/>
      </rPr>
      <t xml:space="preserve"> 3.10.6</t>
    </r>
  </si>
  <si>
    <r>
      <t xml:space="preserve">Программное обеспечение Flutter SDK </t>
    </r>
    <r>
      <rPr>
        <sz val="10"/>
        <color theme="1"/>
        <rFont val="Times New Roman"/>
        <family val="1"/>
      </rPr>
      <t>3.38.5</t>
    </r>
  </si>
  <si>
    <r>
      <t xml:space="preserve">Anaconda3 2025.12.1, включая:
</t>
    </r>
    <r>
      <rPr>
        <sz val="10"/>
        <rFont val="Times New Roman"/>
        <family val="1"/>
        <charset val="204"/>
      </rPr>
      <t xml:space="preserve"> - Python 3.13.0;
 - Kivy 2.3.1; 
</t>
    </r>
    <r>
      <rPr>
        <sz val="10"/>
        <color theme="1"/>
        <rFont val="Times New Roman"/>
        <family val="1"/>
        <charset val="204"/>
      </rPr>
      <t xml:space="preserve"> - PyJNIus;
 - PyQt 6.10.1;
 - Pillow;
 - mariadb-connector;
 - postgresql.</t>
    </r>
  </si>
  <si>
    <t xml:space="preserve"> -SQLAlchemy 2.0.45
- JDBC (Java Database Connectivity)
- ADO.NET
- ODBC (Open Database Connectivity)
- MySQL Connector/C++</t>
  </si>
  <si>
    <t>Open JavaFX SDK 21.0.9 (Java SDK 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</si>
</sst>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name val="Times New Roman"/>
      <family val="1"/>
      <charset val="204"/>
    </font>
    <font>
      <sz val="11"/>
      <name val="Calibri"/>
      <family val="2"/>
      <charset val="204"/>
    </font>
    <font>
      <sz val="16"/>
      <name val="Times New Roman"/>
      <family val="1"/>
      <charset val="204"/>
    </font>
    <font>
      <b/>
      <sz val="12"/>
      <name val="Times New Roman"/>
      <family val="1"/>
      <charset val="204"/>
    </font>
    <font>
      <sz val="16"/>
      <color theme="0"/>
      <name val="Times New Roman"/>
      <family val="1"/>
      <charset val="204"/>
    </font>
    <font>
      <sz val="10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sz val="16"/>
      <color theme="0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0"/>
      <color theme="1"/>
      <name val="Times New Roman"/>
      <family val="1"/>
    </font>
    <font>
      <sz val="11"/>
      <color rgb="FF000000"/>
      <name val="Times New Roman"/>
      <family val="1"/>
      <charset val="204"/>
    </font>
    <font>
      <sz val="14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Times New Roman&quot;"/>
    </font>
    <font>
      <sz val="11"/>
      <color rgb="FF000000"/>
      <name val="Calibri"/>
      <family val="2"/>
      <charset val="204"/>
      <scheme val="minor"/>
    </font>
    <font>
      <sz val="11"/>
      <name val="Calibri"/>
      <family val="2"/>
    </font>
    <font>
      <sz val="11"/>
      <name val="Times New Roman"/>
      <family val="1"/>
    </font>
    <font>
      <sz val="11"/>
      <name val="Times New Roman&quot;"/>
    </font>
    <font>
      <sz val="10"/>
      <name val="Times New Roman"/>
      <family val="1"/>
    </font>
    <font>
      <sz val="11"/>
      <color indexed="64"/>
      <name val="Times New Roman"/>
      <family val="1"/>
    </font>
    <font>
      <sz val="10"/>
      <name val="Calibri"/>
      <family val="2"/>
      <charset val="204"/>
    </font>
    <font>
      <sz val="10"/>
      <color rgb="FF000000"/>
      <name val="Times New Roman"/>
      <family val="1"/>
      <charset val="204"/>
    </font>
  </fonts>
  <fills count="10">
    <fill>
      <patternFill patternType="none"/>
    </fill>
    <fill>
      <patternFill patternType="gray125"/>
    </fill>
    <fill>
      <patternFill patternType="solid">
        <fgColor rgb="FFAEABAB"/>
        <bgColor rgb="FFAEABAB"/>
      </patternFill>
    </fill>
    <fill>
      <patternFill patternType="solid">
        <fgColor theme="0" tint="-0.34998626667073579"/>
        <bgColor rgb="FFFFC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249977111117893"/>
        <bgColor rgb="FF3A3838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rgb="FFAEABAB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8" fillId="0" borderId="0"/>
  </cellStyleXfs>
  <cellXfs count="190">
    <xf numFmtId="0" fontId="0" fillId="0" borderId="0" xfId="0"/>
    <xf numFmtId="0" fontId="1" fillId="0" borderId="0" xfId="1"/>
    <xf numFmtId="0" fontId="2" fillId="0" borderId="1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8" fillId="0" borderId="9" xfId="1" applyFont="1" applyBorder="1" applyAlignment="1">
      <alignment horizontal="center" vertical="center" wrapText="1"/>
    </xf>
    <xf numFmtId="0" fontId="2" fillId="0" borderId="0" xfId="1" applyFont="1"/>
    <xf numFmtId="0" fontId="4" fillId="0" borderId="0" xfId="1" applyFont="1" applyAlignment="1">
      <alignment vertical="center" wrapText="1"/>
    </xf>
    <xf numFmtId="0" fontId="13" fillId="0" borderId="0" xfId="0" applyFont="1" applyAlignment="1">
      <alignment wrapText="1"/>
    </xf>
    <xf numFmtId="0" fontId="13" fillId="0" borderId="0" xfId="0" applyFont="1"/>
    <xf numFmtId="0" fontId="13" fillId="0" borderId="9" xfId="0" applyFont="1" applyBorder="1" applyAlignment="1">
      <alignment wrapText="1"/>
    </xf>
    <xf numFmtId="0" fontId="13" fillId="0" borderId="9" xfId="0" applyFont="1" applyBorder="1" applyAlignment="1">
      <alignment horizontal="right" wrapText="1"/>
    </xf>
    <xf numFmtId="0" fontId="6" fillId="0" borderId="0" xfId="1" applyFont="1"/>
    <xf numFmtId="0" fontId="6" fillId="0" borderId="0" xfId="1" applyFont="1" applyAlignment="1">
      <alignment vertical="center" wrapText="1"/>
    </xf>
    <xf numFmtId="0" fontId="12" fillId="0" borderId="0" xfId="1" applyFont="1" applyAlignment="1">
      <alignment vertical="center" wrapText="1"/>
    </xf>
    <xf numFmtId="0" fontId="2" fillId="0" borderId="2" xfId="1" applyFont="1" applyBorder="1" applyAlignment="1">
      <alignment horizontal="center" vertical="top" wrapText="1"/>
    </xf>
    <xf numFmtId="0" fontId="7" fillId="0" borderId="1" xfId="1" applyFont="1" applyBorder="1" applyAlignment="1">
      <alignment vertical="top"/>
    </xf>
    <xf numFmtId="0" fontId="7" fillId="0" borderId="1" xfId="1" applyFont="1" applyBorder="1" applyAlignment="1">
      <alignment horizontal="left" vertical="top" wrapText="1"/>
    </xf>
    <xf numFmtId="0" fontId="7" fillId="0" borderId="2" xfId="1" applyFont="1" applyBorder="1" applyAlignment="1">
      <alignment horizontal="center" vertical="top" wrapText="1"/>
    </xf>
    <xf numFmtId="0" fontId="2" fillId="0" borderId="9" xfId="1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/>
    </xf>
    <xf numFmtId="0" fontId="10" fillId="0" borderId="9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2" fillId="0" borderId="9" xfId="1" applyFont="1" applyBorder="1" applyAlignment="1">
      <alignment horizontal="left" vertical="center" wrapText="1"/>
    </xf>
    <xf numFmtId="0" fontId="7" fillId="0" borderId="9" xfId="0" applyFont="1" applyBorder="1" applyAlignment="1">
      <alignment vertical="top" wrapText="1"/>
    </xf>
    <xf numFmtId="0" fontId="16" fillId="0" borderId="9" xfId="0" applyFont="1" applyBorder="1" applyAlignment="1">
      <alignment horizontal="center"/>
    </xf>
    <xf numFmtId="0" fontId="1" fillId="0" borderId="0" xfId="1" applyAlignment="1">
      <alignment horizontal="center"/>
    </xf>
    <xf numFmtId="0" fontId="17" fillId="0" borderId="9" xfId="0" applyFont="1" applyBorder="1" applyAlignment="1">
      <alignment horizontal="right" wrapText="1"/>
    </xf>
    <xf numFmtId="0" fontId="13" fillId="0" borderId="9" xfId="0" quotePrefix="1" applyFont="1" applyBorder="1" applyAlignment="1">
      <alignment horizontal="right" wrapText="1"/>
    </xf>
    <xf numFmtId="0" fontId="20" fillId="0" borderId="9" xfId="0" applyFont="1" applyBorder="1" applyAlignment="1">
      <alignment horizontal="left" vertical="center" wrapText="1"/>
    </xf>
    <xf numFmtId="0" fontId="20" fillId="0" borderId="9" xfId="0" applyFont="1" applyBorder="1" applyAlignment="1">
      <alignment horizontal="center" vertical="center" wrapText="1"/>
    </xf>
    <xf numFmtId="0" fontId="28" fillId="7" borderId="9" xfId="0" applyFont="1" applyFill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top" wrapText="1"/>
    </xf>
    <xf numFmtId="0" fontId="20" fillId="0" borderId="25" xfId="0" applyFont="1" applyBorder="1" applyAlignment="1">
      <alignment horizontal="center" vertical="center" wrapText="1"/>
    </xf>
    <xf numFmtId="0" fontId="20" fillId="0" borderId="9" xfId="0" applyFont="1" applyBorder="1" applyAlignment="1">
      <alignment vertical="center" wrapText="1"/>
    </xf>
    <xf numFmtId="0" fontId="20" fillId="0" borderId="24" xfId="0" applyFont="1" applyBorder="1" applyAlignment="1">
      <alignment horizontal="center" vertical="center" wrapText="1"/>
    </xf>
    <xf numFmtId="0" fontId="2" fillId="0" borderId="27" xfId="1" applyFont="1" applyBorder="1"/>
    <xf numFmtId="0" fontId="28" fillId="0" borderId="9" xfId="0" applyFont="1" applyBorder="1" applyAlignment="1">
      <alignment horizontal="center" vertical="center" wrapText="1"/>
    </xf>
    <xf numFmtId="0" fontId="20" fillId="0" borderId="17" xfId="0" applyFont="1" applyBorder="1" applyAlignment="1">
      <alignment wrapText="1"/>
    </xf>
    <xf numFmtId="0" fontId="28" fillId="0" borderId="24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9" xfId="0" applyFont="1" applyBorder="1" applyAlignment="1">
      <alignment vertical="center" wrapText="1"/>
    </xf>
    <xf numFmtId="0" fontId="20" fillId="0" borderId="9" xfId="1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5" fillId="0" borderId="9" xfId="1" applyFont="1" applyBorder="1" applyAlignment="1">
      <alignment horizontal="center" vertical="center"/>
    </xf>
    <xf numFmtId="0" fontId="20" fillId="0" borderId="9" xfId="1" applyFont="1" applyBorder="1" applyAlignment="1">
      <alignment horizontal="center" vertical="center"/>
    </xf>
    <xf numFmtId="0" fontId="20" fillId="0" borderId="24" xfId="1" applyFont="1" applyBorder="1" applyAlignment="1">
      <alignment horizontal="center" vertical="center"/>
    </xf>
    <xf numFmtId="0" fontId="20" fillId="0" borderId="9" xfId="1" applyFont="1" applyBorder="1" applyAlignment="1">
      <alignment horizontal="left" vertical="center" wrapText="1"/>
    </xf>
    <xf numFmtId="0" fontId="7" fillId="0" borderId="9" xfId="2" applyFont="1" applyBorder="1" applyAlignment="1">
      <alignment horizontal="left" vertical="center" wrapText="1"/>
    </xf>
    <xf numFmtId="0" fontId="9" fillId="0" borderId="9" xfId="1" applyFont="1" applyBorder="1" applyAlignment="1">
      <alignment horizontal="left" vertical="center" wrapText="1"/>
    </xf>
    <xf numFmtId="0" fontId="25" fillId="0" borderId="9" xfId="2" applyFont="1" applyBorder="1" applyAlignment="1">
      <alignment horizontal="left" vertical="center" wrapText="1"/>
    </xf>
    <xf numFmtId="0" fontId="9" fillId="0" borderId="9" xfId="0" applyFont="1" applyBorder="1" applyAlignment="1">
      <alignment vertical="center"/>
    </xf>
    <xf numFmtId="0" fontId="28" fillId="0" borderId="9" xfId="0" applyFont="1" applyBorder="1" applyAlignment="1">
      <alignment wrapText="1"/>
    </xf>
    <xf numFmtId="0" fontId="25" fillId="0" borderId="9" xfId="0" applyFont="1" applyBorder="1" applyAlignment="1">
      <alignment horizontal="center" vertical="top" wrapText="1"/>
    </xf>
    <xf numFmtId="0" fontId="21" fillId="0" borderId="9" xfId="0" applyFont="1" applyBorder="1" applyAlignment="1">
      <alignment wrapText="1"/>
    </xf>
    <xf numFmtId="0" fontId="21" fillId="0" borderId="9" xfId="0" applyFont="1" applyBorder="1" applyAlignment="1">
      <alignment vertical="top" wrapText="1"/>
    </xf>
    <xf numFmtId="0" fontId="16" fillId="0" borderId="9" xfId="0" applyFont="1" applyBorder="1"/>
    <xf numFmtId="0" fontId="20" fillId="0" borderId="9" xfId="0" applyFont="1" applyBorder="1" applyAlignment="1">
      <alignment horizontal="center" vertical="center"/>
    </xf>
    <xf numFmtId="0" fontId="2" fillId="0" borderId="16" xfId="1" applyFont="1" applyBorder="1" applyAlignment="1">
      <alignment horizontal="center" vertical="center" wrapText="1"/>
    </xf>
    <xf numFmtId="0" fontId="2" fillId="0" borderId="17" xfId="1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/>
    </xf>
    <xf numFmtId="0" fontId="16" fillId="0" borderId="17" xfId="0" applyFont="1" applyBorder="1" applyAlignment="1">
      <alignment horizontal="left"/>
    </xf>
    <xf numFmtId="0" fontId="27" fillId="0" borderId="17" xfId="1" applyFont="1" applyBorder="1" applyAlignment="1">
      <alignment horizontal="left" vertical="top"/>
    </xf>
    <xf numFmtId="0" fontId="2" fillId="0" borderId="16" xfId="1" applyFont="1" applyBorder="1" applyAlignment="1">
      <alignment horizontal="center" vertical="center"/>
    </xf>
    <xf numFmtId="0" fontId="20" fillId="0" borderId="16" xfId="1" applyFont="1" applyBorder="1" applyAlignment="1">
      <alignment horizontal="center" vertical="top"/>
    </xf>
    <xf numFmtId="0" fontId="2" fillId="0" borderId="16" xfId="1" applyFont="1" applyBorder="1" applyAlignment="1">
      <alignment horizontal="center"/>
    </xf>
    <xf numFmtId="0" fontId="2" fillId="0" borderId="17" xfId="1" applyFont="1" applyBorder="1"/>
    <xf numFmtId="0" fontId="2" fillId="0" borderId="28" xfId="1" applyFont="1" applyBorder="1" applyAlignment="1">
      <alignment horizontal="center"/>
    </xf>
    <xf numFmtId="0" fontId="7" fillId="0" borderId="24" xfId="0" applyFont="1" applyBorder="1" applyAlignment="1">
      <alignment vertical="top" wrapText="1"/>
    </xf>
    <xf numFmtId="0" fontId="10" fillId="0" borderId="24" xfId="0" applyFont="1" applyBorder="1" applyAlignment="1">
      <alignment horizontal="left" vertical="center" wrapText="1"/>
    </xf>
    <xf numFmtId="0" fontId="2" fillId="0" borderId="24" xfId="1" applyFont="1" applyBorder="1" applyAlignment="1">
      <alignment horizontal="center" vertical="center"/>
    </xf>
    <xf numFmtId="0" fontId="25" fillId="0" borderId="29" xfId="1" applyFont="1" applyBorder="1" applyAlignment="1">
      <alignment horizontal="center" vertical="top" wrapText="1"/>
    </xf>
    <xf numFmtId="0" fontId="21" fillId="0" borderId="25" xfId="0" applyFont="1" applyBorder="1"/>
    <xf numFmtId="0" fontId="20" fillId="0" borderId="25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/>
    </xf>
    <xf numFmtId="0" fontId="27" fillId="0" borderId="26" xfId="1" applyFont="1" applyBorder="1" applyAlignment="1">
      <alignment horizontal="left" vertical="top"/>
    </xf>
    <xf numFmtId="0" fontId="20" fillId="0" borderId="28" xfId="1" applyFont="1" applyBorder="1" applyAlignment="1">
      <alignment horizontal="center" vertical="top"/>
    </xf>
    <xf numFmtId="0" fontId="21" fillId="0" borderId="24" xfId="0" applyFont="1" applyBorder="1"/>
    <xf numFmtId="0" fontId="21" fillId="0" borderId="24" xfId="0" applyFont="1" applyBorder="1" applyAlignment="1">
      <alignment wrapText="1"/>
    </xf>
    <xf numFmtId="0" fontId="20" fillId="0" borderId="24" xfId="0" applyFont="1" applyBorder="1" applyAlignment="1">
      <alignment horizontal="center" vertical="top" wrapText="1"/>
    </xf>
    <xf numFmtId="0" fontId="27" fillId="0" borderId="27" xfId="1" applyFont="1" applyBorder="1" applyAlignment="1">
      <alignment horizontal="left" vertical="top"/>
    </xf>
    <xf numFmtId="0" fontId="2" fillId="0" borderId="13" xfId="1" applyFont="1" applyBorder="1" applyAlignment="1">
      <alignment horizontal="center" vertical="center" wrapText="1"/>
    </xf>
    <xf numFmtId="0" fontId="2" fillId="0" borderId="14" xfId="1" applyFont="1" applyBorder="1" applyAlignment="1">
      <alignment horizontal="center" vertical="center" wrapText="1"/>
    </xf>
    <xf numFmtId="0" fontId="2" fillId="0" borderId="15" xfId="1" applyFont="1" applyBorder="1" applyAlignment="1">
      <alignment horizontal="center" vertical="center" wrapText="1"/>
    </xf>
    <xf numFmtId="0" fontId="8" fillId="0" borderId="9" xfId="1" applyFont="1" applyBorder="1" applyAlignment="1">
      <alignment horizontal="center" vertical="center"/>
    </xf>
    <xf numFmtId="0" fontId="9" fillId="0" borderId="17" xfId="1" applyFont="1" applyBorder="1" applyAlignment="1">
      <alignment horizontal="center" vertical="center" wrapText="1"/>
    </xf>
    <xf numFmtId="0" fontId="21" fillId="0" borderId="9" xfId="0" applyFont="1" applyBorder="1" applyAlignment="1">
      <alignment horizontal="left" vertical="center" wrapText="1"/>
    </xf>
    <xf numFmtId="0" fontId="30" fillId="0" borderId="9" xfId="0" applyFont="1" applyBorder="1" applyAlignment="1">
      <alignment horizontal="left" vertical="center" wrapText="1"/>
    </xf>
    <xf numFmtId="0" fontId="25" fillId="8" borderId="9" xfId="2" applyFont="1" applyFill="1" applyBorder="1" applyAlignment="1">
      <alignment horizontal="left" vertical="center" wrapText="1"/>
    </xf>
    <xf numFmtId="0" fontId="7" fillId="8" borderId="9" xfId="2" applyFont="1" applyFill="1" applyBorder="1" applyAlignment="1">
      <alignment horizontal="center" vertical="center" wrapText="1"/>
    </xf>
    <xf numFmtId="0" fontId="25" fillId="0" borderId="9" xfId="0" applyFont="1" applyBorder="1" applyAlignment="1">
      <alignment horizontal="left" vertical="center" wrapText="1"/>
    </xf>
    <xf numFmtId="0" fontId="25" fillId="0" borderId="9" xfId="0" applyFont="1" applyBorder="1" applyAlignment="1">
      <alignment horizontal="center" vertical="center" wrapText="1"/>
    </xf>
    <xf numFmtId="0" fontId="25" fillId="0" borderId="9" xfId="0" applyFont="1" applyBorder="1" applyAlignment="1">
      <alignment horizontal="center" vertical="center"/>
    </xf>
    <xf numFmtId="0" fontId="2" fillId="0" borderId="17" xfId="1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27" fillId="0" borderId="17" xfId="1" applyFont="1" applyBorder="1" applyAlignment="1">
      <alignment horizontal="center" vertical="center"/>
    </xf>
    <xf numFmtId="0" fontId="2" fillId="0" borderId="28" xfId="1" applyFont="1" applyBorder="1" applyAlignment="1">
      <alignment horizontal="center" vertical="center"/>
    </xf>
    <xf numFmtId="0" fontId="20" fillId="0" borderId="24" xfId="1" applyFont="1" applyBorder="1" applyAlignment="1">
      <alignment horizontal="left" vertical="center" wrapText="1"/>
    </xf>
    <xf numFmtId="0" fontId="8" fillId="0" borderId="24" xfId="1" applyFont="1" applyBorder="1" applyAlignment="1">
      <alignment horizontal="center" vertical="center" wrapText="1"/>
    </xf>
    <xf numFmtId="0" fontId="8" fillId="0" borderId="24" xfId="1" applyFont="1" applyBorder="1" applyAlignment="1">
      <alignment horizontal="center" vertical="center"/>
    </xf>
    <xf numFmtId="0" fontId="2" fillId="0" borderId="27" xfId="1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 wrapText="1"/>
    </xf>
    <xf numFmtId="0" fontId="9" fillId="9" borderId="9" xfId="0" applyFont="1" applyFill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 wrapText="1"/>
    </xf>
    <xf numFmtId="0" fontId="2" fillId="0" borderId="16" xfId="1" applyFont="1" applyBorder="1" applyAlignment="1">
      <alignment horizontal="center" vertical="top" wrapText="1"/>
    </xf>
    <xf numFmtId="0" fontId="2" fillId="0" borderId="28" xfId="1" applyFont="1" applyBorder="1" applyAlignment="1">
      <alignment horizontal="center" vertical="top" wrapText="1"/>
    </xf>
    <xf numFmtId="0" fontId="9" fillId="0" borderId="24" xfId="0" applyFont="1" applyBorder="1" applyAlignment="1">
      <alignment horizontal="left" vertical="center" wrapText="1"/>
    </xf>
    <xf numFmtId="0" fontId="9" fillId="0" borderId="27" xfId="1" applyFont="1" applyBorder="1" applyAlignment="1">
      <alignment horizontal="center" vertical="center" wrapText="1"/>
    </xf>
    <xf numFmtId="0" fontId="25" fillId="0" borderId="16" xfId="1" applyFont="1" applyBorder="1" applyAlignment="1">
      <alignment horizontal="center" vertical="center" wrapText="1"/>
    </xf>
    <xf numFmtId="0" fontId="27" fillId="0" borderId="17" xfId="1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20" fillId="9" borderId="9" xfId="0" applyFont="1" applyFill="1" applyBorder="1" applyAlignment="1">
      <alignment horizontal="center" vertical="center"/>
    </xf>
    <xf numFmtId="0" fontId="25" fillId="9" borderId="9" xfId="0" applyFont="1" applyFill="1" applyBorder="1" applyAlignment="1">
      <alignment horizontal="center" vertical="center"/>
    </xf>
    <xf numFmtId="0" fontId="20" fillId="9" borderId="9" xfId="0" applyFont="1" applyFill="1" applyBorder="1" applyAlignment="1">
      <alignment horizontal="center" vertical="center" wrapText="1"/>
    </xf>
    <xf numFmtId="0" fontId="25" fillId="0" borderId="28" xfId="1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0" fontId="9" fillId="9" borderId="9" xfId="0" applyFont="1" applyFill="1" applyBorder="1" applyAlignment="1">
      <alignment horizontal="left" vertical="center"/>
    </xf>
    <xf numFmtId="0" fontId="8" fillId="0" borderId="9" xfId="1" applyFont="1" applyBorder="1" applyAlignment="1">
      <alignment horizontal="left" vertical="center" wrapText="1"/>
    </xf>
    <xf numFmtId="0" fontId="7" fillId="8" borderId="9" xfId="2" applyFont="1" applyFill="1" applyBorder="1" applyAlignment="1">
      <alignment horizontal="left" vertical="center" wrapText="1"/>
    </xf>
    <xf numFmtId="0" fontId="20" fillId="9" borderId="9" xfId="0" applyFont="1" applyFill="1" applyBorder="1" applyAlignment="1">
      <alignment horizontal="left" vertical="center"/>
    </xf>
    <xf numFmtId="0" fontId="20" fillId="0" borderId="9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20" fillId="0" borderId="24" xfId="0" applyFont="1" applyBorder="1" applyAlignment="1">
      <alignment horizontal="left" vertical="center"/>
    </xf>
    <xf numFmtId="0" fontId="9" fillId="0" borderId="24" xfId="0" applyFont="1" applyBorder="1" applyAlignment="1">
      <alignment horizontal="left" vertical="center"/>
    </xf>
    <xf numFmtId="0" fontId="8" fillId="0" borderId="9" xfId="0" applyFont="1" applyBorder="1" applyAlignment="1">
      <alignment vertical="center" wrapText="1"/>
    </xf>
    <xf numFmtId="0" fontId="25" fillId="0" borderId="11" xfId="0" applyFont="1" applyBorder="1" applyAlignment="1">
      <alignment horizontal="left" vertical="top" wrapText="1"/>
    </xf>
    <xf numFmtId="0" fontId="1" fillId="0" borderId="0" xfId="0" applyFont="1" applyAlignment="1">
      <alignment vertical="top"/>
    </xf>
    <xf numFmtId="0" fontId="24" fillId="0" borderId="12" xfId="0" applyFont="1" applyBorder="1" applyAlignment="1">
      <alignment vertical="top"/>
    </xf>
    <xf numFmtId="0" fontId="8" fillId="0" borderId="11" xfId="1" applyFont="1" applyBorder="1" applyAlignment="1">
      <alignment horizontal="left" vertical="top" wrapText="1"/>
    </xf>
    <xf numFmtId="0" fontId="8" fillId="0" borderId="0" xfId="1" applyFont="1"/>
    <xf numFmtId="0" fontId="8" fillId="0" borderId="12" xfId="1" applyFont="1" applyBorder="1"/>
    <xf numFmtId="0" fontId="4" fillId="2" borderId="21" xfId="1" applyFont="1" applyFill="1" applyBorder="1" applyAlignment="1">
      <alignment horizontal="center" vertical="center"/>
    </xf>
    <xf numFmtId="0" fontId="2" fillId="0" borderId="22" xfId="1" applyFont="1" applyBorder="1"/>
    <xf numFmtId="0" fontId="2" fillId="0" borderId="23" xfId="1" applyFont="1" applyBorder="1"/>
    <xf numFmtId="0" fontId="14" fillId="0" borderId="7" xfId="1" applyFont="1" applyBorder="1" applyAlignment="1">
      <alignment horizontal="left" vertical="top" wrapText="1"/>
    </xf>
    <xf numFmtId="0" fontId="8" fillId="0" borderId="6" xfId="1" applyFont="1" applyBorder="1"/>
    <xf numFmtId="0" fontId="8" fillId="0" borderId="7" xfId="1" applyFont="1" applyBorder="1" applyAlignment="1">
      <alignment horizontal="left" vertical="top" wrapText="1"/>
    </xf>
    <xf numFmtId="0" fontId="19" fillId="0" borderId="18" xfId="1" applyFont="1" applyBorder="1" applyAlignment="1">
      <alignment horizontal="left" vertical="top" wrapText="1"/>
    </xf>
    <xf numFmtId="0" fontId="19" fillId="0" borderId="19" xfId="1" applyFont="1" applyBorder="1" applyAlignment="1">
      <alignment horizontal="left" vertical="top" wrapText="1"/>
    </xf>
    <xf numFmtId="0" fontId="19" fillId="0" borderId="20" xfId="1" applyFont="1" applyBorder="1" applyAlignment="1">
      <alignment horizontal="left" vertical="top" wrapText="1"/>
    </xf>
    <xf numFmtId="0" fontId="4" fillId="2" borderId="34" xfId="1" applyFont="1" applyFill="1" applyBorder="1" applyAlignment="1">
      <alignment horizontal="center" vertical="center"/>
    </xf>
    <xf numFmtId="0" fontId="3" fillId="0" borderId="32" xfId="1" applyFont="1" applyBorder="1"/>
    <xf numFmtId="0" fontId="3" fillId="0" borderId="33" xfId="1" applyFont="1" applyBorder="1"/>
    <xf numFmtId="0" fontId="5" fillId="0" borderId="0" xfId="1" applyFont="1" applyAlignment="1">
      <alignment horizontal="left" vertical="top" wrapText="1"/>
    </xf>
    <xf numFmtId="0" fontId="4" fillId="3" borderId="35" xfId="1" applyFont="1" applyFill="1" applyBorder="1" applyAlignment="1">
      <alignment horizontal="center" vertical="center"/>
    </xf>
    <xf numFmtId="0" fontId="2" fillId="4" borderId="36" xfId="1" applyFont="1" applyFill="1" applyBorder="1" applyAlignment="1">
      <alignment horizontal="center"/>
    </xf>
    <xf numFmtId="0" fontId="2" fillId="4" borderId="37" xfId="1" applyFont="1" applyFill="1" applyBorder="1" applyAlignment="1">
      <alignment horizontal="center"/>
    </xf>
    <xf numFmtId="0" fontId="20" fillId="0" borderId="19" xfId="1" applyFont="1" applyBorder="1"/>
    <xf numFmtId="0" fontId="20" fillId="0" borderId="20" xfId="1" applyFont="1" applyBorder="1"/>
    <xf numFmtId="0" fontId="21" fillId="0" borderId="11" xfId="0" applyFont="1" applyBorder="1" applyAlignment="1">
      <alignment horizontal="left" vertical="top" wrapText="1"/>
    </xf>
    <xf numFmtId="0" fontId="23" fillId="0" borderId="0" xfId="0" applyFont="1" applyAlignment="1">
      <alignment vertical="top"/>
    </xf>
    <xf numFmtId="0" fontId="2" fillId="0" borderId="11" xfId="1" applyFont="1" applyBorder="1" applyAlignment="1">
      <alignment horizontal="left" vertical="top" wrapText="1"/>
    </xf>
    <xf numFmtId="0" fontId="3" fillId="0" borderId="0" xfId="1" applyFont="1"/>
    <xf numFmtId="0" fontId="3" fillId="0" borderId="12" xfId="1" applyFont="1" applyBorder="1"/>
    <xf numFmtId="0" fontId="12" fillId="5" borderId="0" xfId="1" applyFont="1" applyFill="1" applyAlignment="1">
      <alignment horizontal="center" vertical="center" wrapText="1"/>
    </xf>
    <xf numFmtId="0" fontId="2" fillId="0" borderId="0" xfId="1" applyFont="1"/>
    <xf numFmtId="0" fontId="6" fillId="6" borderId="0" xfId="1" applyFont="1" applyFill="1" applyAlignment="1">
      <alignment horizontal="center"/>
    </xf>
    <xf numFmtId="0" fontId="5" fillId="0" borderId="0" xfId="1" applyFont="1" applyAlignment="1">
      <alignment horizontal="left" wrapText="1"/>
    </xf>
    <xf numFmtId="0" fontId="6" fillId="5" borderId="0" xfId="1" applyFont="1" applyFill="1" applyAlignment="1">
      <alignment horizontal="center" vertical="center" wrapText="1"/>
    </xf>
    <xf numFmtId="0" fontId="5" fillId="0" borderId="0" xfId="1" applyFont="1" applyAlignment="1">
      <alignment horizontal="left"/>
    </xf>
    <xf numFmtId="0" fontId="4" fillId="2" borderId="18" xfId="1" applyFont="1" applyFill="1" applyBorder="1" applyAlignment="1">
      <alignment horizontal="center" vertical="center"/>
    </xf>
    <xf numFmtId="0" fontId="2" fillId="0" borderId="19" xfId="1" applyFont="1" applyBorder="1"/>
    <xf numFmtId="0" fontId="2" fillId="0" borderId="20" xfId="1" applyFont="1" applyBorder="1"/>
    <xf numFmtId="0" fontId="14" fillId="0" borderId="11" xfId="1" applyFont="1" applyBorder="1" applyAlignment="1">
      <alignment horizontal="left" vertical="top" wrapText="1"/>
    </xf>
    <xf numFmtId="0" fontId="4" fillId="2" borderId="30" xfId="1" applyFont="1" applyFill="1" applyBorder="1" applyAlignment="1">
      <alignment horizontal="center" vertical="center"/>
    </xf>
    <xf numFmtId="0" fontId="4" fillId="2" borderId="10" xfId="1" applyFont="1" applyFill="1" applyBorder="1" applyAlignment="1">
      <alignment horizontal="center" vertical="center"/>
    </xf>
    <xf numFmtId="0" fontId="4" fillId="2" borderId="31" xfId="1" applyFont="1" applyFill="1" applyBorder="1" applyAlignment="1">
      <alignment horizontal="center" vertical="center"/>
    </xf>
    <xf numFmtId="0" fontId="4" fillId="4" borderId="13" xfId="1" applyFont="1" applyFill="1" applyBorder="1" applyAlignment="1">
      <alignment horizontal="center"/>
    </xf>
    <xf numFmtId="0" fontId="4" fillId="4" borderId="14" xfId="1" applyFont="1" applyFill="1" applyBorder="1" applyAlignment="1">
      <alignment horizontal="center"/>
    </xf>
    <xf numFmtId="0" fontId="4" fillId="4" borderId="15" xfId="1" applyFont="1" applyFill="1" applyBorder="1" applyAlignment="1">
      <alignment horizontal="center"/>
    </xf>
    <xf numFmtId="0" fontId="4" fillId="2" borderId="13" xfId="1" applyFont="1" applyFill="1" applyBorder="1" applyAlignment="1">
      <alignment horizontal="center" vertical="center"/>
    </xf>
    <xf numFmtId="0" fontId="2" fillId="0" borderId="14" xfId="1" applyFont="1" applyBorder="1"/>
    <xf numFmtId="0" fontId="2" fillId="0" borderId="15" xfId="1" applyFont="1" applyBorder="1"/>
    <xf numFmtId="0" fontId="4" fillId="2" borderId="4" xfId="1" applyFont="1" applyFill="1" applyBorder="1" applyAlignment="1">
      <alignment horizontal="center" vertical="center"/>
    </xf>
    <xf numFmtId="0" fontId="3" fillId="0" borderId="3" xfId="1" applyFont="1" applyBorder="1"/>
    <xf numFmtId="0" fontId="12" fillId="5" borderId="8" xfId="1" applyFont="1" applyFill="1" applyBorder="1" applyAlignment="1">
      <alignment horizontal="center" vertical="center" wrapText="1"/>
    </xf>
    <xf numFmtId="0" fontId="7" fillId="0" borderId="9" xfId="2" applyFont="1" applyFill="1" applyBorder="1" applyAlignment="1">
      <alignment horizontal="left" vertical="center" wrapText="1"/>
    </xf>
    <xf numFmtId="0" fontId="7" fillId="0" borderId="9" xfId="2" applyFont="1" applyFill="1" applyBorder="1" applyAlignment="1">
      <alignment horizontal="left" vertical="top" wrapText="1"/>
    </xf>
    <xf numFmtId="0" fontId="9" fillId="0" borderId="9" xfId="0" applyFont="1" applyFill="1" applyBorder="1" applyAlignment="1">
      <alignment vertical="center" wrapText="1"/>
    </xf>
    <xf numFmtId="0" fontId="8" fillId="0" borderId="0" xfId="1" applyFont="1" applyBorder="1"/>
    <xf numFmtId="0" fontId="9" fillId="0" borderId="9" xfId="1" applyFont="1" applyFill="1" applyBorder="1" applyAlignment="1">
      <alignment horizontal="left" vertical="center" wrapText="1"/>
    </xf>
    <xf numFmtId="0" fontId="25" fillId="0" borderId="13" xfId="1" applyFont="1" applyBorder="1" applyAlignment="1">
      <alignment horizontal="left" vertical="center" wrapText="1"/>
    </xf>
    <xf numFmtId="0" fontId="25" fillId="0" borderId="14" xfId="1" applyFont="1" applyBorder="1" applyAlignment="1">
      <alignment horizontal="center" vertical="center" wrapText="1"/>
    </xf>
    <xf numFmtId="0" fontId="25" fillId="0" borderId="15" xfId="1" applyFont="1" applyBorder="1" applyAlignment="1">
      <alignment horizontal="center" vertical="center" wrapText="1"/>
    </xf>
    <xf numFmtId="0" fontId="3" fillId="0" borderId="0" xfId="1" applyFont="1" applyBorder="1"/>
    <xf numFmtId="0" fontId="9" fillId="0" borderId="24" xfId="1" applyFont="1" applyFill="1" applyBorder="1" applyAlignment="1">
      <alignment horizontal="left" vertical="center" wrapText="1"/>
    </xf>
    <xf numFmtId="0" fontId="20" fillId="0" borderId="24" xfId="1" applyFont="1" applyBorder="1" applyAlignment="1">
      <alignment horizontal="center" vertical="center" wrapText="1"/>
    </xf>
    <xf numFmtId="0" fontId="9" fillId="0" borderId="17" xfId="1" applyFont="1" applyBorder="1" applyAlignment="1">
      <alignment horizontal="left" vertical="top" wrapText="1"/>
    </xf>
    <xf numFmtId="0" fontId="9" fillId="0" borderId="9" xfId="0" applyFont="1" applyFill="1" applyBorder="1" applyAlignment="1">
      <alignment wrapText="1"/>
    </xf>
    <xf numFmtId="0" fontId="9" fillId="0" borderId="9" xfId="0" applyFont="1" applyBorder="1" applyAlignment="1">
      <alignment horizontal="left" vertical="top" wrapText="1"/>
    </xf>
  </cellXfs>
  <cellStyles count="3">
    <cellStyle name="Обычный" xfId="0" builtinId="0"/>
    <cellStyle name="Обычный 2" xfId="1" xr:uid="{00000000-0005-0000-0000-000002000000}"/>
    <cellStyle name="Обычный 3" xfId="2" xr:uid="{03DDE2B8-5885-4818-B048-E3BE27B000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23"/>
  <sheetViews>
    <sheetView workbookViewId="0">
      <selection activeCell="D14" sqref="D14"/>
    </sheetView>
  </sheetViews>
  <sheetFormatPr defaultRowHeight="18.75"/>
  <cols>
    <col min="1" max="1" width="52.140625" style="8" customWidth="1"/>
    <col min="2" max="2" width="90.5703125" style="9" customWidth="1"/>
  </cols>
  <sheetData>
    <row r="2" spans="1:2">
      <c r="B2" s="8"/>
    </row>
    <row r="3" spans="1:2">
      <c r="A3" s="10" t="s">
        <v>18</v>
      </c>
      <c r="B3" s="11" t="s">
        <v>256</v>
      </c>
    </row>
    <row r="4" spans="1:2" ht="37.5">
      <c r="A4" s="10" t="s">
        <v>31</v>
      </c>
      <c r="B4" s="11" t="s">
        <v>70</v>
      </c>
    </row>
    <row r="5" spans="1:2">
      <c r="A5" s="10" t="s">
        <v>44</v>
      </c>
      <c r="B5" s="11" t="s">
        <v>71</v>
      </c>
    </row>
    <row r="6" spans="1:2" ht="56.25">
      <c r="A6" s="10" t="s">
        <v>23</v>
      </c>
      <c r="B6" s="27" t="s">
        <v>72</v>
      </c>
    </row>
    <row r="7" spans="1:2">
      <c r="A7" s="10" t="s">
        <v>32</v>
      </c>
      <c r="B7" s="27" t="s">
        <v>73</v>
      </c>
    </row>
    <row r="8" spans="1:2">
      <c r="A8" s="10" t="s">
        <v>19</v>
      </c>
      <c r="B8" s="27" t="s">
        <v>257</v>
      </c>
    </row>
    <row r="9" spans="1:2">
      <c r="A9" s="10" t="s">
        <v>20</v>
      </c>
      <c r="B9" s="11" t="s">
        <v>74</v>
      </c>
    </row>
    <row r="10" spans="1:2">
      <c r="A10" s="10" t="s">
        <v>22</v>
      </c>
      <c r="B10" s="11" t="s">
        <v>75</v>
      </c>
    </row>
    <row r="11" spans="1:2">
      <c r="A11" s="10" t="s">
        <v>36</v>
      </c>
      <c r="B11" s="11" t="s">
        <v>76</v>
      </c>
    </row>
    <row r="12" spans="1:2" ht="18" customHeight="1">
      <c r="A12" s="10" t="s">
        <v>38</v>
      </c>
      <c r="B12" s="11" t="s">
        <v>258</v>
      </c>
    </row>
    <row r="13" spans="1:2">
      <c r="A13" s="10" t="s">
        <v>33</v>
      </c>
      <c r="B13" s="11" t="s">
        <v>259</v>
      </c>
    </row>
    <row r="14" spans="1:2">
      <c r="A14" s="10" t="s">
        <v>37</v>
      </c>
      <c r="B14" s="28" t="s">
        <v>260</v>
      </c>
    </row>
    <row r="15" spans="1:2">
      <c r="A15" s="10" t="s">
        <v>45</v>
      </c>
      <c r="B15" s="11">
        <v>10</v>
      </c>
    </row>
    <row r="16" spans="1:2">
      <c r="A16" s="10" t="s">
        <v>21</v>
      </c>
      <c r="B16" s="11">
        <v>10</v>
      </c>
    </row>
    <row r="17" spans="1:2" ht="21" customHeight="1">
      <c r="A17" s="10" t="s">
        <v>47</v>
      </c>
      <c r="B17" s="11">
        <v>13</v>
      </c>
    </row>
    <row r="20" spans="1:2">
      <c r="A20" s="8" t="s">
        <v>40</v>
      </c>
    </row>
    <row r="21" spans="1:2">
      <c r="A21" s="8" t="s">
        <v>41</v>
      </c>
    </row>
    <row r="22" spans="1:2">
      <c r="A22" s="8" t="s">
        <v>42</v>
      </c>
    </row>
    <row r="23" spans="1:2" ht="37.5">
      <c r="A23" s="8" t="s">
        <v>43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0"/>
  <sheetViews>
    <sheetView tabSelected="1" topLeftCell="A70" zoomScale="93" zoomScaleNormal="93" workbookViewId="0">
      <selection activeCell="E56" sqref="E56"/>
    </sheetView>
  </sheetViews>
  <sheetFormatPr defaultColWidth="14.42578125" defaultRowHeight="15" customHeight="1"/>
  <cols>
    <col min="1" max="1" width="5.140625" style="6" customWidth="1"/>
    <col min="2" max="2" width="52" style="6" customWidth="1"/>
    <col min="3" max="3" width="30.85546875" style="6" customWidth="1"/>
    <col min="4" max="4" width="22" style="6" customWidth="1"/>
    <col min="5" max="5" width="15.42578125" style="6" customWidth="1"/>
    <col min="6" max="6" width="19.7109375" style="6" customWidth="1"/>
    <col min="7" max="7" width="14.42578125" style="6" customWidth="1"/>
    <col min="8" max="8" width="26.28515625" style="6" customWidth="1"/>
    <col min="9" max="9" width="24.140625" style="26" customWidth="1"/>
    <col min="10" max="11" width="8.7109375" style="1" customWidth="1"/>
    <col min="12" max="16384" width="14.42578125" style="1"/>
  </cols>
  <sheetData>
    <row r="1" spans="1:10" ht="20.25">
      <c r="A1" s="156" t="s">
        <v>29</v>
      </c>
      <c r="B1" s="156"/>
      <c r="C1" s="156"/>
      <c r="D1" s="156"/>
      <c r="E1" s="156"/>
      <c r="F1" s="156"/>
      <c r="G1" s="156"/>
      <c r="H1" s="156"/>
    </row>
    <row r="2" spans="1:10" ht="21" customHeight="1">
      <c r="A2" s="158" t="str">
        <f>'Информация о Чемпионате'!B4</f>
        <v>Региональный этап чемпионат по профессиональному мастерству "Профессионалы" в 2026 г.</v>
      </c>
      <c r="B2" s="158"/>
      <c r="C2" s="158"/>
      <c r="D2" s="158"/>
      <c r="E2" s="158"/>
      <c r="F2" s="158"/>
      <c r="G2" s="158"/>
      <c r="H2" s="158"/>
      <c r="J2" s="7"/>
    </row>
    <row r="3" spans="1:10" ht="20.25">
      <c r="A3" s="156" t="s">
        <v>30</v>
      </c>
      <c r="B3" s="156"/>
      <c r="C3" s="156"/>
      <c r="D3" s="156"/>
      <c r="E3" s="156"/>
      <c r="F3" s="156"/>
      <c r="G3" s="156"/>
      <c r="H3" s="156"/>
    </row>
    <row r="4" spans="1:10" ht="22.5" customHeight="1">
      <c r="A4" s="154" t="str">
        <f>'Информация о Чемпионате'!B3</f>
        <v>Программные решения для бизнеса</v>
      </c>
      <c r="B4" s="154"/>
      <c r="C4" s="154"/>
      <c r="D4" s="154"/>
      <c r="E4" s="154"/>
      <c r="F4" s="154"/>
      <c r="G4" s="154"/>
      <c r="H4" s="154"/>
    </row>
    <row r="5" spans="1:10">
      <c r="A5" s="143" t="s">
        <v>10</v>
      </c>
      <c r="B5" s="155"/>
      <c r="C5" s="155"/>
      <c r="D5" s="155"/>
      <c r="E5" s="155"/>
      <c r="F5" s="155"/>
      <c r="G5" s="155"/>
      <c r="H5" s="155"/>
    </row>
    <row r="6" spans="1:10" ht="15.75" customHeight="1">
      <c r="A6" s="143" t="s">
        <v>27</v>
      </c>
      <c r="B6" s="143"/>
      <c r="C6" s="159" t="str">
        <f>'Информация о Чемпионате'!B5</f>
        <v>Санкт-Петербург</v>
      </c>
      <c r="D6" s="159"/>
      <c r="E6" s="159"/>
      <c r="F6" s="159"/>
      <c r="G6" s="159"/>
      <c r="H6" s="159"/>
    </row>
    <row r="7" spans="1:10" ht="48" customHeight="1">
      <c r="A7" s="143" t="s">
        <v>28</v>
      </c>
      <c r="B7" s="143"/>
      <c r="C7" s="143"/>
      <c r="D7" s="157" t="str">
        <f>'Информация о Чемпионате'!B6</f>
        <v>Санкт-Петербургский колледж телекоммуникаций им. Э.Т. Кренкеля ФГБОУ ВО "Санкт-Петербургский государственный университет телекоммуникаций им. проф. М.А.Бонч-Бруевича"</v>
      </c>
      <c r="E7" s="157"/>
      <c r="F7" s="157"/>
      <c r="G7" s="157"/>
      <c r="H7" s="157"/>
    </row>
    <row r="8" spans="1:10" ht="15.75" customHeight="1">
      <c r="A8" s="143" t="s">
        <v>24</v>
      </c>
      <c r="B8" s="143"/>
      <c r="C8" s="143" t="str">
        <f>'Информация о Чемпионате'!B7</f>
        <v>г. Санкт-Петербург, наб. реки Мойки, д. 61, лит. А.</v>
      </c>
      <c r="D8" s="143"/>
      <c r="E8" s="143"/>
      <c r="F8" s="143"/>
      <c r="G8" s="143"/>
      <c r="H8" s="143"/>
    </row>
    <row r="9" spans="1:10" ht="15.75" customHeight="1">
      <c r="A9" s="143" t="s">
        <v>26</v>
      </c>
      <c r="B9" s="143"/>
      <c r="C9" s="143" t="str">
        <f>'Информация о Чемпионате'!B9</f>
        <v>Кривоносова Наталья Викторовна</v>
      </c>
      <c r="D9" s="143"/>
      <c r="E9" s="143" t="str">
        <f>'Информация о Чемпионате'!B10</f>
        <v>nvkrivonosowa@mail.ru</v>
      </c>
      <c r="F9" s="143"/>
      <c r="G9" s="143" t="str">
        <f>'Информация о Чемпионате'!B11</f>
        <v>+7(952)385-42-25</v>
      </c>
      <c r="H9" s="143"/>
    </row>
    <row r="10" spans="1:10" ht="15.75" customHeight="1">
      <c r="A10" s="143" t="s">
        <v>34</v>
      </c>
      <c r="B10" s="143"/>
      <c r="C10" s="143" t="str">
        <f>'Информация о Чемпионате'!B12</f>
        <v xml:space="preserve">Андреев Михаил Дмитриевич </v>
      </c>
      <c r="D10" s="143"/>
      <c r="E10" s="143" t="str">
        <f>'Информация о Чемпионате'!B13</f>
        <v xml:space="preserve">andreev.mikhail.8b@gmail.com </v>
      </c>
      <c r="F10" s="143"/>
      <c r="G10" s="143" t="str">
        <f>'Информация о Чемпионате'!B14</f>
        <v>+79201595535</v>
      </c>
      <c r="H10" s="143"/>
    </row>
    <row r="11" spans="1:10" ht="15.75" customHeight="1">
      <c r="A11" s="143" t="s">
        <v>39</v>
      </c>
      <c r="B11" s="143"/>
      <c r="C11" s="143">
        <f>'Информация о Чемпионате'!B17</f>
        <v>13</v>
      </c>
      <c r="D11" s="143"/>
      <c r="E11" s="143"/>
      <c r="F11" s="143"/>
      <c r="G11" s="143"/>
      <c r="H11" s="143"/>
    </row>
    <row r="12" spans="1:10" ht="15.75" customHeight="1">
      <c r="A12" s="143" t="s">
        <v>46</v>
      </c>
      <c r="B12" s="143"/>
      <c r="C12" s="143">
        <f>'Информация о Чемпионате'!B15</f>
        <v>10</v>
      </c>
      <c r="D12" s="143"/>
      <c r="E12" s="143"/>
      <c r="F12" s="143"/>
      <c r="G12" s="143"/>
      <c r="H12" s="143"/>
    </row>
    <row r="13" spans="1:10" ht="15.75" customHeight="1">
      <c r="A13" s="143" t="s">
        <v>17</v>
      </c>
      <c r="B13" s="143"/>
      <c r="C13" s="143">
        <f>'Информация о Чемпионате'!B16</f>
        <v>10</v>
      </c>
      <c r="D13" s="143"/>
      <c r="E13" s="143"/>
      <c r="F13" s="143"/>
      <c r="G13" s="143"/>
      <c r="H13" s="143"/>
    </row>
    <row r="14" spans="1:10" ht="15.75" customHeight="1" thickBot="1">
      <c r="A14" s="143" t="s">
        <v>25</v>
      </c>
      <c r="B14" s="143"/>
      <c r="C14" s="143" t="str">
        <f>'Информация о Чемпионате'!B8</f>
        <v>02 февраля 2026 года - 06 января 2026 года</v>
      </c>
      <c r="D14" s="143"/>
      <c r="E14" s="143"/>
      <c r="F14" s="143"/>
      <c r="G14" s="143"/>
      <c r="H14" s="143"/>
    </row>
    <row r="15" spans="1:10" ht="21" thickBot="1">
      <c r="A15" s="144" t="s">
        <v>15</v>
      </c>
      <c r="B15" s="145"/>
      <c r="C15" s="145"/>
      <c r="D15" s="145"/>
      <c r="E15" s="145"/>
      <c r="F15" s="145"/>
      <c r="G15" s="145"/>
      <c r="H15" s="146"/>
    </row>
    <row r="16" spans="1:10" ht="15" customHeight="1">
      <c r="A16" s="137" t="s">
        <v>8</v>
      </c>
      <c r="B16" s="147"/>
      <c r="C16" s="147"/>
      <c r="D16" s="147"/>
      <c r="E16" s="147"/>
      <c r="F16" s="147"/>
      <c r="G16" s="147"/>
      <c r="H16" s="148"/>
    </row>
    <row r="17" spans="1:9" ht="15" customHeight="1">
      <c r="A17" s="149" t="s">
        <v>87</v>
      </c>
      <c r="B17" s="150"/>
      <c r="C17" s="150"/>
      <c r="D17" s="150"/>
      <c r="E17" s="150"/>
      <c r="F17" s="150"/>
      <c r="G17" s="150"/>
      <c r="H17" s="127"/>
    </row>
    <row r="18" spans="1:9" ht="15" customHeight="1">
      <c r="A18" s="128" t="s">
        <v>78</v>
      </c>
      <c r="B18" s="129"/>
      <c r="C18" s="129"/>
      <c r="D18" s="129"/>
      <c r="E18" s="129"/>
      <c r="F18" s="129"/>
      <c r="G18" s="129"/>
      <c r="H18" s="130"/>
    </row>
    <row r="19" spans="1:9" ht="15" customHeight="1">
      <c r="A19" s="128" t="s">
        <v>79</v>
      </c>
      <c r="B19" s="129"/>
      <c r="C19" s="129"/>
      <c r="D19" s="129"/>
      <c r="E19" s="129"/>
      <c r="F19" s="129"/>
      <c r="G19" s="129"/>
      <c r="H19" s="130"/>
    </row>
    <row r="20" spans="1:9" ht="15" customHeight="1">
      <c r="A20" s="125" t="s">
        <v>88</v>
      </c>
      <c r="B20" s="126"/>
      <c r="C20" s="126"/>
      <c r="D20" s="126"/>
      <c r="E20" s="126"/>
      <c r="F20" s="126"/>
      <c r="G20" s="126"/>
      <c r="H20" s="127"/>
    </row>
    <row r="21" spans="1:9" ht="15" customHeight="1">
      <c r="A21" s="128" t="s">
        <v>81</v>
      </c>
      <c r="B21" s="129"/>
      <c r="C21" s="129"/>
      <c r="D21" s="129"/>
      <c r="E21" s="129"/>
      <c r="F21" s="129"/>
      <c r="G21" s="129"/>
      <c r="H21" s="130"/>
    </row>
    <row r="22" spans="1:9" ht="15" customHeight="1">
      <c r="A22" s="125" t="s">
        <v>89</v>
      </c>
      <c r="B22" s="126"/>
      <c r="C22" s="126"/>
      <c r="D22" s="126"/>
      <c r="E22" s="126"/>
      <c r="F22" s="126"/>
      <c r="G22" s="126"/>
      <c r="H22" s="127"/>
    </row>
    <row r="23" spans="1:9" ht="15" customHeight="1">
      <c r="A23" s="128" t="s">
        <v>83</v>
      </c>
      <c r="B23" s="129"/>
      <c r="C23" s="129"/>
      <c r="D23" s="129"/>
      <c r="E23" s="129"/>
      <c r="F23" s="129"/>
      <c r="G23" s="129"/>
      <c r="H23" s="130"/>
    </row>
    <row r="24" spans="1:9" ht="15.75" customHeight="1">
      <c r="A24" s="128" t="s">
        <v>84</v>
      </c>
      <c r="B24" s="129"/>
      <c r="C24" s="129"/>
      <c r="D24" s="129"/>
      <c r="E24" s="129"/>
      <c r="F24" s="129"/>
      <c r="G24" s="129"/>
      <c r="H24" s="130"/>
    </row>
    <row r="25" spans="1:9" ht="15.6" customHeight="1">
      <c r="A25" s="151" t="s">
        <v>86</v>
      </c>
      <c r="B25" s="152"/>
      <c r="C25" s="152"/>
      <c r="D25" s="152"/>
      <c r="E25" s="152"/>
      <c r="F25" s="152"/>
      <c r="G25" s="152"/>
      <c r="H25" s="153"/>
    </row>
    <row r="26" spans="1:9">
      <c r="A26" s="151" t="s">
        <v>90</v>
      </c>
      <c r="B26" s="152"/>
      <c r="C26" s="152"/>
      <c r="D26" s="152"/>
      <c r="E26" s="152"/>
      <c r="F26" s="152"/>
      <c r="G26" s="152"/>
      <c r="H26" s="153"/>
    </row>
    <row r="27" spans="1:9" ht="15" customHeight="1" thickBot="1">
      <c r="A27" s="151" t="s">
        <v>85</v>
      </c>
      <c r="B27" s="184"/>
      <c r="C27" s="184"/>
      <c r="D27" s="184"/>
      <c r="E27" s="184"/>
      <c r="F27" s="184"/>
      <c r="G27" s="184"/>
      <c r="H27" s="153"/>
      <c r="I27" s="1"/>
    </row>
    <row r="28" spans="1:9" ht="60">
      <c r="A28" s="81" t="s">
        <v>6</v>
      </c>
      <c r="B28" s="82" t="s">
        <v>5</v>
      </c>
      <c r="C28" s="82" t="s">
        <v>4</v>
      </c>
      <c r="D28" s="82" t="s">
        <v>3</v>
      </c>
      <c r="E28" s="82" t="s">
        <v>2</v>
      </c>
      <c r="F28" s="82" t="s">
        <v>1</v>
      </c>
      <c r="G28" s="82" t="s">
        <v>0</v>
      </c>
      <c r="H28" s="83" t="s">
        <v>9</v>
      </c>
      <c r="I28" s="1"/>
    </row>
    <row r="29" spans="1:9">
      <c r="A29" s="63">
        <v>1</v>
      </c>
      <c r="B29" s="29" t="s">
        <v>92</v>
      </c>
      <c r="C29" s="40" t="s">
        <v>93</v>
      </c>
      <c r="D29" s="30" t="s">
        <v>94</v>
      </c>
      <c r="E29" s="31">
        <v>1</v>
      </c>
      <c r="F29" s="84" t="s">
        <v>50</v>
      </c>
      <c r="G29" s="31">
        <v>1</v>
      </c>
      <c r="H29" s="85"/>
      <c r="I29" s="1"/>
    </row>
    <row r="30" spans="1:9">
      <c r="A30" s="63">
        <v>2</v>
      </c>
      <c r="B30" s="29" t="s">
        <v>95</v>
      </c>
      <c r="C30" s="40" t="s">
        <v>96</v>
      </c>
      <c r="D30" s="30" t="s">
        <v>94</v>
      </c>
      <c r="E30" s="31">
        <v>1</v>
      </c>
      <c r="F30" s="84" t="s">
        <v>50</v>
      </c>
      <c r="G30" s="31">
        <v>1</v>
      </c>
      <c r="H30" s="85"/>
      <c r="I30" s="1"/>
    </row>
    <row r="31" spans="1:9">
      <c r="A31" s="63">
        <v>3</v>
      </c>
      <c r="B31" s="86" t="s">
        <v>48</v>
      </c>
      <c r="C31" s="87" t="s">
        <v>97</v>
      </c>
      <c r="D31" s="30" t="s">
        <v>49</v>
      </c>
      <c r="E31" s="91">
        <v>17</v>
      </c>
      <c r="F31" s="44" t="s">
        <v>50</v>
      </c>
      <c r="G31" s="91">
        <v>17</v>
      </c>
      <c r="H31" s="85"/>
      <c r="I31" s="1"/>
    </row>
    <row r="32" spans="1:9">
      <c r="A32" s="63">
        <v>4</v>
      </c>
      <c r="B32" s="86" t="s">
        <v>51</v>
      </c>
      <c r="C32" s="87" t="s">
        <v>51</v>
      </c>
      <c r="D32" s="30" t="s">
        <v>49</v>
      </c>
      <c r="E32" s="91">
        <v>28</v>
      </c>
      <c r="F32" s="44" t="s">
        <v>50</v>
      </c>
      <c r="G32" s="91">
        <v>28</v>
      </c>
      <c r="H32" s="85"/>
      <c r="I32" s="1"/>
    </row>
    <row r="33" spans="1:9">
      <c r="A33" s="63">
        <v>5</v>
      </c>
      <c r="B33" s="47" t="s">
        <v>98</v>
      </c>
      <c r="C33" s="48" t="s">
        <v>99</v>
      </c>
      <c r="D33" s="5" t="s">
        <v>49</v>
      </c>
      <c r="E33" s="44">
        <v>10</v>
      </c>
      <c r="F33" s="44" t="s">
        <v>50</v>
      </c>
      <c r="G33" s="44">
        <f t="shared" ref="G33:G34" si="0">E33</f>
        <v>10</v>
      </c>
      <c r="H33" s="85"/>
      <c r="I33" s="1"/>
    </row>
    <row r="34" spans="1:9">
      <c r="A34" s="63">
        <v>6</v>
      </c>
      <c r="B34" s="47" t="s">
        <v>100</v>
      </c>
      <c r="C34" s="49" t="s">
        <v>100</v>
      </c>
      <c r="D34" s="5" t="s">
        <v>49</v>
      </c>
      <c r="E34" s="44">
        <v>10</v>
      </c>
      <c r="F34" s="44" t="s">
        <v>50</v>
      </c>
      <c r="G34" s="44">
        <f t="shared" si="0"/>
        <v>10</v>
      </c>
      <c r="H34" s="85"/>
      <c r="I34" s="1"/>
    </row>
    <row r="35" spans="1:9">
      <c r="A35" s="63">
        <v>7</v>
      </c>
      <c r="B35" s="86" t="s">
        <v>101</v>
      </c>
      <c r="C35" s="87" t="s">
        <v>102</v>
      </c>
      <c r="D35" s="43" t="s">
        <v>103</v>
      </c>
      <c r="E35" s="43">
        <v>1</v>
      </c>
      <c r="F35" s="84" t="s">
        <v>50</v>
      </c>
      <c r="G35" s="43">
        <v>1</v>
      </c>
      <c r="H35" s="85"/>
      <c r="I35" s="1"/>
    </row>
    <row r="36" spans="1:9" ht="25.5">
      <c r="A36" s="63">
        <v>8</v>
      </c>
      <c r="B36" s="88" t="s">
        <v>104</v>
      </c>
      <c r="C36" s="48" t="s">
        <v>105</v>
      </c>
      <c r="D36" s="43" t="s">
        <v>49</v>
      </c>
      <c r="E36" s="84">
        <v>2</v>
      </c>
      <c r="F36" s="84" t="s">
        <v>50</v>
      </c>
      <c r="G36" s="84">
        <v>2</v>
      </c>
      <c r="H36" s="85"/>
      <c r="I36" s="1"/>
    </row>
    <row r="37" spans="1:9">
      <c r="A37" s="63">
        <v>9</v>
      </c>
      <c r="B37" s="88" t="s">
        <v>106</v>
      </c>
      <c r="C37" s="48" t="s">
        <v>107</v>
      </c>
      <c r="D37" s="43" t="s">
        <v>49</v>
      </c>
      <c r="E37" s="84">
        <v>1</v>
      </c>
      <c r="F37" s="84" t="s">
        <v>50</v>
      </c>
      <c r="G37" s="84">
        <v>1</v>
      </c>
      <c r="H37" s="85"/>
      <c r="I37" s="1"/>
    </row>
    <row r="38" spans="1:9">
      <c r="A38" s="63">
        <v>10</v>
      </c>
      <c r="B38" s="88" t="s">
        <v>108</v>
      </c>
      <c r="C38" s="48" t="s">
        <v>109</v>
      </c>
      <c r="D38" s="43" t="s">
        <v>49</v>
      </c>
      <c r="E38" s="84">
        <v>1</v>
      </c>
      <c r="F38" s="84" t="s">
        <v>50</v>
      </c>
      <c r="G38" s="84">
        <v>1</v>
      </c>
      <c r="H38" s="85"/>
      <c r="I38" s="1"/>
    </row>
    <row r="39" spans="1:9">
      <c r="A39" s="63">
        <v>11</v>
      </c>
      <c r="B39" s="47" t="s">
        <v>110</v>
      </c>
      <c r="C39" s="49" t="s">
        <v>111</v>
      </c>
      <c r="D39" s="5" t="s">
        <v>94</v>
      </c>
      <c r="E39" s="84">
        <v>1</v>
      </c>
      <c r="F39" s="84" t="s">
        <v>50</v>
      </c>
      <c r="G39" s="84">
        <v>1</v>
      </c>
      <c r="H39" s="85"/>
      <c r="I39" s="1"/>
    </row>
    <row r="40" spans="1:9">
      <c r="A40" s="63">
        <v>12</v>
      </c>
      <c r="B40" s="47" t="s">
        <v>112</v>
      </c>
      <c r="C40" s="49" t="s">
        <v>113</v>
      </c>
      <c r="D40" s="5" t="s">
        <v>94</v>
      </c>
      <c r="E40" s="84">
        <v>1</v>
      </c>
      <c r="F40" s="84" t="s">
        <v>50</v>
      </c>
      <c r="G40" s="84">
        <v>1</v>
      </c>
      <c r="H40" s="85"/>
      <c r="I40" s="1"/>
    </row>
    <row r="41" spans="1:9">
      <c r="A41" s="63">
        <v>13</v>
      </c>
      <c r="B41" s="47" t="s">
        <v>114</v>
      </c>
      <c r="C41" s="49" t="s">
        <v>115</v>
      </c>
      <c r="D41" s="5" t="s">
        <v>94</v>
      </c>
      <c r="E41" s="84">
        <v>1</v>
      </c>
      <c r="F41" s="84" t="s">
        <v>50</v>
      </c>
      <c r="G41" s="84">
        <v>1</v>
      </c>
      <c r="H41" s="85"/>
      <c r="I41" s="1"/>
    </row>
    <row r="42" spans="1:9">
      <c r="A42" s="63">
        <v>14</v>
      </c>
      <c r="B42" s="47" t="s">
        <v>116</v>
      </c>
      <c r="C42" s="49" t="s">
        <v>117</v>
      </c>
      <c r="D42" s="5" t="s">
        <v>94</v>
      </c>
      <c r="E42" s="84">
        <v>1</v>
      </c>
      <c r="F42" s="84" t="s">
        <v>50</v>
      </c>
      <c r="G42" s="84">
        <v>1</v>
      </c>
      <c r="H42" s="85"/>
      <c r="I42" s="1"/>
    </row>
    <row r="43" spans="1:9">
      <c r="A43" s="63">
        <v>15</v>
      </c>
      <c r="B43" s="47" t="s">
        <v>118</v>
      </c>
      <c r="C43" s="49" t="s">
        <v>119</v>
      </c>
      <c r="D43" s="5" t="s">
        <v>94</v>
      </c>
      <c r="E43" s="84">
        <v>1</v>
      </c>
      <c r="F43" s="84" t="s">
        <v>50</v>
      </c>
      <c r="G43" s="84">
        <v>1</v>
      </c>
      <c r="H43" s="85"/>
      <c r="I43" s="1"/>
    </row>
    <row r="44" spans="1:9" ht="25.5">
      <c r="A44" s="63">
        <v>16</v>
      </c>
      <c r="B44" s="47" t="s">
        <v>120</v>
      </c>
      <c r="C44" s="49" t="s">
        <v>121</v>
      </c>
      <c r="D44" s="5" t="s">
        <v>94</v>
      </c>
      <c r="E44" s="84">
        <v>1</v>
      </c>
      <c r="F44" s="84" t="s">
        <v>50</v>
      </c>
      <c r="G44" s="84">
        <v>1</v>
      </c>
      <c r="H44" s="85"/>
      <c r="I44" s="1"/>
    </row>
    <row r="45" spans="1:9">
      <c r="A45" s="63">
        <v>17</v>
      </c>
      <c r="B45" s="47" t="s">
        <v>122</v>
      </c>
      <c r="C45" s="49" t="s">
        <v>123</v>
      </c>
      <c r="D45" s="5" t="s">
        <v>94</v>
      </c>
      <c r="E45" s="84">
        <v>1</v>
      </c>
      <c r="F45" s="84" t="s">
        <v>50</v>
      </c>
      <c r="G45" s="84">
        <v>1</v>
      </c>
      <c r="H45" s="85"/>
      <c r="I45" s="1"/>
    </row>
    <row r="46" spans="1:9">
      <c r="A46" s="63">
        <v>18</v>
      </c>
      <c r="B46" s="47" t="s">
        <v>124</v>
      </c>
      <c r="C46" s="49" t="s">
        <v>125</v>
      </c>
      <c r="D46" s="89" t="s">
        <v>49</v>
      </c>
      <c r="E46" s="84">
        <v>1</v>
      </c>
      <c r="F46" s="84" t="s">
        <v>50</v>
      </c>
      <c r="G46" s="84">
        <v>1</v>
      </c>
      <c r="H46" s="85"/>
      <c r="I46" s="1"/>
    </row>
    <row r="47" spans="1:9">
      <c r="A47" s="63">
        <v>19</v>
      </c>
      <c r="B47" s="86" t="s">
        <v>126</v>
      </c>
      <c r="C47" s="87" t="s">
        <v>127</v>
      </c>
      <c r="D47" s="43" t="s">
        <v>103</v>
      </c>
      <c r="E47" s="43">
        <v>1</v>
      </c>
      <c r="F47" s="84" t="s">
        <v>50</v>
      </c>
      <c r="G47" s="43">
        <v>1</v>
      </c>
      <c r="H47" s="85"/>
      <c r="I47" s="1"/>
    </row>
    <row r="48" spans="1:9">
      <c r="A48" s="63">
        <v>20</v>
      </c>
      <c r="B48" s="86" t="s">
        <v>128</v>
      </c>
      <c r="C48" s="87" t="s">
        <v>129</v>
      </c>
      <c r="D48" s="43" t="s">
        <v>103</v>
      </c>
      <c r="E48" s="43">
        <v>1</v>
      </c>
      <c r="F48" s="84" t="s">
        <v>50</v>
      </c>
      <c r="G48" s="43">
        <v>1</v>
      </c>
      <c r="H48" s="85"/>
      <c r="I48" s="1"/>
    </row>
    <row r="49" spans="1:9">
      <c r="A49" s="63">
        <v>21</v>
      </c>
      <c r="B49" s="86" t="s">
        <v>130</v>
      </c>
      <c r="C49" s="87" t="s">
        <v>131</v>
      </c>
      <c r="D49" s="43" t="s">
        <v>103</v>
      </c>
      <c r="E49" s="43">
        <v>1</v>
      </c>
      <c r="F49" s="84" t="s">
        <v>50</v>
      </c>
      <c r="G49" s="43">
        <v>1</v>
      </c>
      <c r="H49" s="85"/>
      <c r="I49" s="1"/>
    </row>
    <row r="50" spans="1:9">
      <c r="A50" s="63">
        <v>22</v>
      </c>
      <c r="B50" s="90" t="s">
        <v>132</v>
      </c>
      <c r="C50" s="22" t="s">
        <v>132</v>
      </c>
      <c r="D50" s="91" t="s">
        <v>103</v>
      </c>
      <c r="E50" s="92">
        <v>1</v>
      </c>
      <c r="F50" s="84" t="s">
        <v>50</v>
      </c>
      <c r="G50" s="92">
        <v>1</v>
      </c>
      <c r="H50" s="93"/>
      <c r="I50" s="1"/>
    </row>
    <row r="51" spans="1:9" ht="178.5">
      <c r="A51" s="63">
        <v>23</v>
      </c>
      <c r="B51" s="29" t="s">
        <v>204</v>
      </c>
      <c r="C51" s="48" t="s">
        <v>91</v>
      </c>
      <c r="D51" s="5" t="s">
        <v>94</v>
      </c>
      <c r="E51" s="84">
        <v>2</v>
      </c>
      <c r="F51" s="84" t="s">
        <v>50</v>
      </c>
      <c r="G51" s="84">
        <v>2</v>
      </c>
      <c r="H51" s="93"/>
      <c r="I51" s="1"/>
    </row>
    <row r="52" spans="1:9">
      <c r="A52" s="63">
        <v>24</v>
      </c>
      <c r="B52" s="47" t="s">
        <v>133</v>
      </c>
      <c r="C52" s="48" t="s">
        <v>134</v>
      </c>
      <c r="D52" s="5" t="s">
        <v>94</v>
      </c>
      <c r="E52" s="84">
        <v>3</v>
      </c>
      <c r="F52" s="84" t="s">
        <v>50</v>
      </c>
      <c r="G52" s="84">
        <v>3</v>
      </c>
      <c r="H52" s="93"/>
      <c r="I52" s="1"/>
    </row>
    <row r="53" spans="1:9">
      <c r="A53" s="63">
        <v>25</v>
      </c>
      <c r="B53" s="47" t="s">
        <v>135</v>
      </c>
      <c r="C53" s="48" t="s">
        <v>136</v>
      </c>
      <c r="D53" s="5" t="s">
        <v>94</v>
      </c>
      <c r="E53" s="84">
        <v>2</v>
      </c>
      <c r="F53" s="84" t="s">
        <v>50</v>
      </c>
      <c r="G53" s="84">
        <v>2</v>
      </c>
      <c r="H53" s="93"/>
      <c r="I53" s="1"/>
    </row>
    <row r="54" spans="1:9" ht="25.5">
      <c r="A54" s="63">
        <v>26</v>
      </c>
      <c r="B54" s="47" t="s">
        <v>137</v>
      </c>
      <c r="C54" s="48" t="s">
        <v>138</v>
      </c>
      <c r="D54" s="5" t="s">
        <v>94</v>
      </c>
      <c r="E54" s="84">
        <v>2</v>
      </c>
      <c r="F54" s="84" t="s">
        <v>50</v>
      </c>
      <c r="G54" s="84">
        <v>2</v>
      </c>
      <c r="H54" s="93"/>
      <c r="I54" s="1"/>
    </row>
    <row r="55" spans="1:9" ht="25.5">
      <c r="A55" s="63">
        <v>27</v>
      </c>
      <c r="B55" s="47" t="s">
        <v>139</v>
      </c>
      <c r="C55" s="48" t="s">
        <v>140</v>
      </c>
      <c r="D55" s="5" t="s">
        <v>94</v>
      </c>
      <c r="E55" s="84">
        <v>2</v>
      </c>
      <c r="F55" s="84" t="s">
        <v>50</v>
      </c>
      <c r="G55" s="84">
        <v>2</v>
      </c>
      <c r="H55" s="93"/>
      <c r="I55" s="1"/>
    </row>
    <row r="56" spans="1:9" ht="25.5">
      <c r="A56" s="63">
        <v>28</v>
      </c>
      <c r="B56" s="47" t="s">
        <v>139</v>
      </c>
      <c r="C56" s="48" t="s">
        <v>254</v>
      </c>
      <c r="D56" s="5" t="s">
        <v>94</v>
      </c>
      <c r="E56" s="84">
        <v>2</v>
      </c>
      <c r="F56" s="84" t="s">
        <v>50</v>
      </c>
      <c r="G56" s="84">
        <v>2</v>
      </c>
      <c r="H56" s="93"/>
      <c r="I56" s="1"/>
    </row>
    <row r="57" spans="1:9">
      <c r="A57" s="63">
        <v>29</v>
      </c>
      <c r="B57" s="88" t="s">
        <v>141</v>
      </c>
      <c r="C57" s="22" t="s">
        <v>142</v>
      </c>
      <c r="D57" s="5" t="s">
        <v>94</v>
      </c>
      <c r="E57" s="84">
        <v>1</v>
      </c>
      <c r="F57" s="84" t="s">
        <v>50</v>
      </c>
      <c r="G57" s="84">
        <v>1</v>
      </c>
      <c r="H57" s="93"/>
      <c r="I57" s="1"/>
    </row>
    <row r="58" spans="1:9" ht="25.5">
      <c r="A58" s="63">
        <v>30</v>
      </c>
      <c r="B58" s="47" t="s">
        <v>143</v>
      </c>
      <c r="C58" s="48" t="s">
        <v>144</v>
      </c>
      <c r="D58" s="5" t="s">
        <v>94</v>
      </c>
      <c r="E58" s="84">
        <v>2</v>
      </c>
      <c r="F58" s="84" t="s">
        <v>50</v>
      </c>
      <c r="G58" s="84">
        <v>2</v>
      </c>
      <c r="H58" s="93"/>
      <c r="I58" s="1"/>
    </row>
    <row r="59" spans="1:9">
      <c r="A59" s="63">
        <v>31</v>
      </c>
      <c r="B59" s="29" t="s">
        <v>202</v>
      </c>
      <c r="C59" s="189" t="s">
        <v>203</v>
      </c>
      <c r="D59" s="5" t="s">
        <v>94</v>
      </c>
      <c r="E59" s="84">
        <v>7</v>
      </c>
      <c r="F59" s="84" t="s">
        <v>50</v>
      </c>
      <c r="G59" s="84">
        <v>7</v>
      </c>
      <c r="H59" s="93"/>
      <c r="I59" s="1"/>
    </row>
    <row r="60" spans="1:9">
      <c r="A60" s="63">
        <v>32</v>
      </c>
      <c r="B60" s="47" t="s">
        <v>145</v>
      </c>
      <c r="C60" s="176" t="s">
        <v>146</v>
      </c>
      <c r="D60" s="42" t="s">
        <v>52</v>
      </c>
      <c r="E60" s="30">
        <v>2</v>
      </c>
      <c r="F60" s="84" t="s">
        <v>50</v>
      </c>
      <c r="G60" s="30">
        <v>2</v>
      </c>
      <c r="H60" s="94"/>
      <c r="I60" s="1"/>
    </row>
    <row r="61" spans="1:9">
      <c r="A61" s="63">
        <v>33</v>
      </c>
      <c r="B61" s="47" t="s">
        <v>147</v>
      </c>
      <c r="C61" s="176" t="s">
        <v>148</v>
      </c>
      <c r="D61" s="42" t="s">
        <v>52</v>
      </c>
      <c r="E61" s="30">
        <v>2</v>
      </c>
      <c r="F61" s="84" t="s">
        <v>50</v>
      </c>
      <c r="G61" s="30">
        <v>2</v>
      </c>
      <c r="H61" s="94"/>
      <c r="I61" s="1"/>
    </row>
    <row r="62" spans="1:9">
      <c r="A62" s="63">
        <v>34</v>
      </c>
      <c r="B62" s="47" t="s">
        <v>149</v>
      </c>
      <c r="C62" s="176" t="s">
        <v>150</v>
      </c>
      <c r="D62" s="42" t="s">
        <v>52</v>
      </c>
      <c r="E62" s="30">
        <v>2</v>
      </c>
      <c r="F62" s="84" t="s">
        <v>50</v>
      </c>
      <c r="G62" s="30">
        <v>2</v>
      </c>
      <c r="H62" s="94"/>
      <c r="I62" s="1"/>
    </row>
    <row r="63" spans="1:9">
      <c r="A63" s="63">
        <v>35</v>
      </c>
      <c r="B63" s="47" t="s">
        <v>151</v>
      </c>
      <c r="C63" s="176" t="s">
        <v>152</v>
      </c>
      <c r="D63" s="42" t="s">
        <v>52</v>
      </c>
      <c r="E63" s="30">
        <v>2</v>
      </c>
      <c r="F63" s="84" t="s">
        <v>50</v>
      </c>
      <c r="G63" s="30">
        <v>2</v>
      </c>
      <c r="H63" s="94"/>
      <c r="I63" s="1"/>
    </row>
    <row r="64" spans="1:9">
      <c r="A64" s="63">
        <v>36</v>
      </c>
      <c r="B64" s="47" t="s">
        <v>153</v>
      </c>
      <c r="C64" s="176" t="s">
        <v>154</v>
      </c>
      <c r="D64" s="42" t="s">
        <v>52</v>
      </c>
      <c r="E64" s="30">
        <v>2</v>
      </c>
      <c r="F64" s="84" t="s">
        <v>50</v>
      </c>
      <c r="G64" s="30">
        <v>2</v>
      </c>
      <c r="H64" s="94"/>
      <c r="I64" s="1"/>
    </row>
    <row r="65" spans="1:9">
      <c r="A65" s="63">
        <v>37</v>
      </c>
      <c r="B65" s="47" t="s">
        <v>153</v>
      </c>
      <c r="C65" s="176" t="s">
        <v>155</v>
      </c>
      <c r="D65" s="42" t="s">
        <v>52</v>
      </c>
      <c r="E65" s="30">
        <v>2</v>
      </c>
      <c r="F65" s="84" t="s">
        <v>50</v>
      </c>
      <c r="G65" s="30">
        <v>2</v>
      </c>
      <c r="H65" s="94"/>
      <c r="I65" s="1"/>
    </row>
    <row r="66" spans="1:9">
      <c r="A66" s="63">
        <v>38</v>
      </c>
      <c r="B66" s="47" t="s">
        <v>156</v>
      </c>
      <c r="C66" s="176" t="s">
        <v>157</v>
      </c>
      <c r="D66" s="42" t="s">
        <v>52</v>
      </c>
      <c r="E66" s="30">
        <v>2</v>
      </c>
      <c r="F66" s="84" t="s">
        <v>50</v>
      </c>
      <c r="G66" s="30">
        <v>2</v>
      </c>
      <c r="H66" s="94"/>
      <c r="I66" s="1"/>
    </row>
    <row r="67" spans="1:9">
      <c r="A67" s="63">
        <v>39</v>
      </c>
      <c r="B67" s="47" t="s">
        <v>156</v>
      </c>
      <c r="C67" s="176" t="s">
        <v>158</v>
      </c>
      <c r="D67" s="42" t="s">
        <v>52</v>
      </c>
      <c r="E67" s="30">
        <v>2</v>
      </c>
      <c r="F67" s="84" t="s">
        <v>50</v>
      </c>
      <c r="G67" s="30">
        <v>2</v>
      </c>
      <c r="H67" s="94"/>
      <c r="I67" s="1"/>
    </row>
    <row r="68" spans="1:9" ht="25.5">
      <c r="A68" s="63">
        <v>40</v>
      </c>
      <c r="B68" s="47" t="s">
        <v>159</v>
      </c>
      <c r="C68" s="176" t="s">
        <v>160</v>
      </c>
      <c r="D68" s="42" t="s">
        <v>52</v>
      </c>
      <c r="E68" s="30">
        <v>2</v>
      </c>
      <c r="F68" s="84" t="s">
        <v>50</v>
      </c>
      <c r="G68" s="30">
        <v>2</v>
      </c>
      <c r="H68" s="94"/>
      <c r="I68" s="1"/>
    </row>
    <row r="69" spans="1:9" ht="76.5">
      <c r="A69" s="63">
        <v>41</v>
      </c>
      <c r="B69" s="47" t="s">
        <v>161</v>
      </c>
      <c r="C69" s="176" t="s">
        <v>162</v>
      </c>
      <c r="D69" s="42" t="s">
        <v>52</v>
      </c>
      <c r="E69" s="30">
        <v>2</v>
      </c>
      <c r="F69" s="84" t="s">
        <v>50</v>
      </c>
      <c r="G69" s="30">
        <v>2</v>
      </c>
      <c r="H69" s="94"/>
      <c r="I69" s="1"/>
    </row>
    <row r="70" spans="1:9" ht="178.5">
      <c r="A70" s="63">
        <v>42</v>
      </c>
      <c r="B70" s="47" t="s">
        <v>163</v>
      </c>
      <c r="C70" s="176" t="s">
        <v>205</v>
      </c>
      <c r="D70" s="42" t="s">
        <v>52</v>
      </c>
      <c r="E70" s="30">
        <v>2</v>
      </c>
      <c r="F70" s="84" t="s">
        <v>50</v>
      </c>
      <c r="G70" s="30">
        <v>2</v>
      </c>
      <c r="H70" s="94"/>
      <c r="I70" s="1"/>
    </row>
    <row r="71" spans="1:9" ht="25.5">
      <c r="A71" s="63">
        <v>43</v>
      </c>
      <c r="B71" s="47" t="s">
        <v>164</v>
      </c>
      <c r="C71" s="176" t="s">
        <v>165</v>
      </c>
      <c r="D71" s="42" t="s">
        <v>52</v>
      </c>
      <c r="E71" s="30">
        <v>2</v>
      </c>
      <c r="F71" s="84" t="s">
        <v>50</v>
      </c>
      <c r="G71" s="30">
        <v>2</v>
      </c>
      <c r="H71" s="94"/>
      <c r="I71" s="1"/>
    </row>
    <row r="72" spans="1:9" ht="25.5">
      <c r="A72" s="63">
        <v>44</v>
      </c>
      <c r="B72" s="47" t="s">
        <v>164</v>
      </c>
      <c r="C72" s="176" t="s">
        <v>166</v>
      </c>
      <c r="D72" s="42" t="s">
        <v>52</v>
      </c>
      <c r="E72" s="30">
        <v>2</v>
      </c>
      <c r="F72" s="84" t="s">
        <v>50</v>
      </c>
      <c r="G72" s="30">
        <v>2</v>
      </c>
      <c r="H72" s="94"/>
      <c r="I72" s="1"/>
    </row>
    <row r="73" spans="1:9" ht="25.5">
      <c r="A73" s="63">
        <v>45</v>
      </c>
      <c r="B73" s="47" t="s">
        <v>164</v>
      </c>
      <c r="C73" s="176" t="s">
        <v>167</v>
      </c>
      <c r="D73" s="42" t="s">
        <v>52</v>
      </c>
      <c r="E73" s="30">
        <v>2</v>
      </c>
      <c r="F73" s="84" t="s">
        <v>50</v>
      </c>
      <c r="G73" s="30">
        <v>2</v>
      </c>
      <c r="H73" s="94"/>
      <c r="I73" s="1"/>
    </row>
    <row r="74" spans="1:9" ht="25.5">
      <c r="A74" s="63">
        <v>46</v>
      </c>
      <c r="B74" s="47" t="s">
        <v>163</v>
      </c>
      <c r="C74" s="176" t="s">
        <v>168</v>
      </c>
      <c r="D74" s="42" t="s">
        <v>52</v>
      </c>
      <c r="E74" s="30">
        <v>2</v>
      </c>
      <c r="F74" s="84" t="s">
        <v>50</v>
      </c>
      <c r="G74" s="30">
        <v>2</v>
      </c>
      <c r="H74" s="94"/>
      <c r="I74" s="1"/>
    </row>
    <row r="75" spans="1:9" ht="25.5">
      <c r="A75" s="63">
        <v>47</v>
      </c>
      <c r="B75" s="47" t="s">
        <v>169</v>
      </c>
      <c r="C75" s="176" t="s">
        <v>170</v>
      </c>
      <c r="D75" s="42" t="s">
        <v>52</v>
      </c>
      <c r="E75" s="30">
        <v>2</v>
      </c>
      <c r="F75" s="84" t="s">
        <v>50</v>
      </c>
      <c r="G75" s="30">
        <v>2</v>
      </c>
      <c r="H75" s="94"/>
      <c r="I75" s="1"/>
    </row>
    <row r="76" spans="1:9" ht="25.5">
      <c r="A76" s="63">
        <v>48</v>
      </c>
      <c r="B76" s="47" t="s">
        <v>164</v>
      </c>
      <c r="C76" s="176" t="s">
        <v>171</v>
      </c>
      <c r="D76" s="42" t="s">
        <v>52</v>
      </c>
      <c r="E76" s="30">
        <v>2</v>
      </c>
      <c r="F76" s="84" t="s">
        <v>50</v>
      </c>
      <c r="G76" s="30">
        <v>2</v>
      </c>
      <c r="H76" s="94"/>
      <c r="I76" s="1"/>
    </row>
    <row r="77" spans="1:9" ht="25.5">
      <c r="A77" s="63">
        <v>49</v>
      </c>
      <c r="B77" s="47" t="s">
        <v>163</v>
      </c>
      <c r="C77" s="176" t="s">
        <v>172</v>
      </c>
      <c r="D77" s="42" t="s">
        <v>52</v>
      </c>
      <c r="E77" s="30">
        <v>2</v>
      </c>
      <c r="F77" s="84" t="s">
        <v>50</v>
      </c>
      <c r="G77" s="30">
        <v>2</v>
      </c>
      <c r="H77" s="94"/>
      <c r="I77" s="1"/>
    </row>
    <row r="78" spans="1:9" ht="38.25">
      <c r="A78" s="63">
        <v>50</v>
      </c>
      <c r="B78" s="47" t="s">
        <v>163</v>
      </c>
      <c r="C78" s="176" t="s">
        <v>173</v>
      </c>
      <c r="D78" s="42" t="s">
        <v>52</v>
      </c>
      <c r="E78" s="30">
        <v>2</v>
      </c>
      <c r="F78" s="84" t="s">
        <v>50</v>
      </c>
      <c r="G78" s="30">
        <v>2</v>
      </c>
      <c r="H78" s="94"/>
      <c r="I78" s="1"/>
    </row>
    <row r="79" spans="1:9" ht="76.5">
      <c r="A79" s="63">
        <v>51</v>
      </c>
      <c r="B79" s="47" t="s">
        <v>174</v>
      </c>
      <c r="C79" s="176" t="s">
        <v>175</v>
      </c>
      <c r="D79" s="42" t="s">
        <v>52</v>
      </c>
      <c r="E79" s="30">
        <v>2</v>
      </c>
      <c r="F79" s="84" t="s">
        <v>50</v>
      </c>
      <c r="G79" s="30">
        <v>2</v>
      </c>
      <c r="H79" s="94"/>
      <c r="I79" s="1"/>
    </row>
    <row r="80" spans="1:9" ht="89.25">
      <c r="A80" s="63">
        <v>52</v>
      </c>
      <c r="B80" s="47" t="s">
        <v>176</v>
      </c>
      <c r="C80" s="176" t="s">
        <v>177</v>
      </c>
      <c r="D80" s="42" t="s">
        <v>52</v>
      </c>
      <c r="E80" s="30">
        <v>2</v>
      </c>
      <c r="F80" s="84" t="s">
        <v>50</v>
      </c>
      <c r="G80" s="30">
        <v>2</v>
      </c>
      <c r="H80" s="94"/>
      <c r="I80" s="1"/>
    </row>
    <row r="81" spans="1:9" ht="25.5">
      <c r="A81" s="63">
        <v>53</v>
      </c>
      <c r="B81" s="47" t="s">
        <v>163</v>
      </c>
      <c r="C81" s="176" t="s">
        <v>178</v>
      </c>
      <c r="D81" s="42" t="s">
        <v>52</v>
      </c>
      <c r="E81" s="30">
        <v>2</v>
      </c>
      <c r="F81" s="84" t="s">
        <v>50</v>
      </c>
      <c r="G81" s="30">
        <v>2</v>
      </c>
      <c r="H81" s="94"/>
      <c r="I81" s="1"/>
    </row>
    <row r="82" spans="1:9">
      <c r="A82" s="63">
        <v>54</v>
      </c>
      <c r="B82" s="124" t="s">
        <v>54</v>
      </c>
      <c r="C82" s="176" t="s">
        <v>261</v>
      </c>
      <c r="D82" s="42"/>
      <c r="E82" s="30">
        <v>2</v>
      </c>
      <c r="F82" s="84" t="s">
        <v>50</v>
      </c>
      <c r="G82" s="30">
        <v>2</v>
      </c>
      <c r="H82" s="94"/>
      <c r="I82" s="1"/>
    </row>
    <row r="83" spans="1:9" ht="38.25">
      <c r="A83" s="63">
        <v>55</v>
      </c>
      <c r="B83" s="47" t="s">
        <v>54</v>
      </c>
      <c r="C83" s="176" t="s">
        <v>179</v>
      </c>
      <c r="D83" s="42" t="s">
        <v>52</v>
      </c>
      <c r="E83" s="30">
        <v>2</v>
      </c>
      <c r="F83" s="84" t="s">
        <v>50</v>
      </c>
      <c r="G83" s="30">
        <v>2</v>
      </c>
      <c r="H83" s="94"/>
      <c r="I83" s="1"/>
    </row>
    <row r="84" spans="1:9" ht="409.5">
      <c r="A84" s="63">
        <v>56</v>
      </c>
      <c r="B84" s="47" t="s">
        <v>54</v>
      </c>
      <c r="C84" s="176" t="s">
        <v>262</v>
      </c>
      <c r="D84" s="42" t="s">
        <v>52</v>
      </c>
      <c r="E84" s="30">
        <v>2</v>
      </c>
      <c r="F84" s="84" t="s">
        <v>50</v>
      </c>
      <c r="G84" s="30">
        <v>2</v>
      </c>
      <c r="H84" s="94"/>
      <c r="I84" s="1"/>
    </row>
    <row r="85" spans="1:9" ht="25.5">
      <c r="A85" s="63">
        <v>57</v>
      </c>
      <c r="B85" s="47" t="s">
        <v>180</v>
      </c>
      <c r="C85" s="176" t="s">
        <v>181</v>
      </c>
      <c r="D85" s="42" t="s">
        <v>52</v>
      </c>
      <c r="E85" s="30">
        <v>2</v>
      </c>
      <c r="F85" s="84" t="s">
        <v>50</v>
      </c>
      <c r="G85" s="30">
        <v>2</v>
      </c>
      <c r="H85" s="94"/>
      <c r="I85" s="1"/>
    </row>
    <row r="86" spans="1:9" ht="25.5">
      <c r="A86" s="63">
        <v>58</v>
      </c>
      <c r="B86" s="47" t="s">
        <v>182</v>
      </c>
      <c r="C86" s="176" t="s">
        <v>183</v>
      </c>
      <c r="D86" s="42" t="s">
        <v>52</v>
      </c>
      <c r="E86" s="30">
        <v>2</v>
      </c>
      <c r="F86" s="84" t="s">
        <v>50</v>
      </c>
      <c r="G86" s="30">
        <v>2</v>
      </c>
      <c r="H86" s="94"/>
      <c r="I86" s="1"/>
    </row>
    <row r="87" spans="1:9" ht="25.5">
      <c r="A87" s="63">
        <v>59</v>
      </c>
      <c r="B87" s="47" t="s">
        <v>182</v>
      </c>
      <c r="C87" s="176" t="s">
        <v>184</v>
      </c>
      <c r="D87" s="42" t="s">
        <v>52</v>
      </c>
      <c r="E87" s="30">
        <v>2</v>
      </c>
      <c r="F87" s="84" t="s">
        <v>50</v>
      </c>
      <c r="G87" s="30">
        <v>2</v>
      </c>
      <c r="H87" s="94"/>
      <c r="I87" s="1"/>
    </row>
    <row r="88" spans="1:9">
      <c r="A88" s="63">
        <v>60</v>
      </c>
      <c r="B88" s="47" t="s">
        <v>182</v>
      </c>
      <c r="C88" s="176" t="s">
        <v>185</v>
      </c>
      <c r="D88" s="42" t="s">
        <v>52</v>
      </c>
      <c r="E88" s="30">
        <v>2</v>
      </c>
      <c r="F88" s="84" t="s">
        <v>50</v>
      </c>
      <c r="G88" s="30">
        <v>2</v>
      </c>
      <c r="H88" s="94"/>
      <c r="I88" s="1"/>
    </row>
    <row r="89" spans="1:9">
      <c r="A89" s="63">
        <v>61</v>
      </c>
      <c r="B89" s="47" t="s">
        <v>182</v>
      </c>
      <c r="C89" s="176" t="s">
        <v>186</v>
      </c>
      <c r="D89" s="42" t="s">
        <v>52</v>
      </c>
      <c r="E89" s="30">
        <v>2</v>
      </c>
      <c r="F89" s="84" t="s">
        <v>50</v>
      </c>
      <c r="G89" s="30">
        <v>2</v>
      </c>
      <c r="H89" s="94"/>
      <c r="I89" s="1"/>
    </row>
    <row r="90" spans="1:9" ht="25.5">
      <c r="A90" s="63">
        <v>62</v>
      </c>
      <c r="B90" s="117" t="s">
        <v>182</v>
      </c>
      <c r="C90" s="177" t="s">
        <v>255</v>
      </c>
      <c r="D90" s="5" t="s">
        <v>52</v>
      </c>
      <c r="E90" s="30">
        <v>2</v>
      </c>
      <c r="F90" s="84" t="s">
        <v>50</v>
      </c>
      <c r="G90" s="30">
        <v>2</v>
      </c>
      <c r="H90" s="94"/>
      <c r="I90" s="1"/>
    </row>
    <row r="91" spans="1:9" ht="102">
      <c r="A91" s="63">
        <v>63</v>
      </c>
      <c r="B91" s="29" t="s">
        <v>163</v>
      </c>
      <c r="C91" s="178" t="s">
        <v>187</v>
      </c>
      <c r="D91" s="30" t="s">
        <v>52</v>
      </c>
      <c r="E91" s="30">
        <v>2</v>
      </c>
      <c r="F91" s="84" t="s">
        <v>50</v>
      </c>
      <c r="G91" s="30">
        <v>2</v>
      </c>
      <c r="H91" s="94"/>
      <c r="I91" s="1"/>
    </row>
    <row r="92" spans="1:9" ht="102">
      <c r="A92" s="63">
        <v>64</v>
      </c>
      <c r="B92" s="29" t="s">
        <v>163</v>
      </c>
      <c r="C92" s="178" t="s">
        <v>188</v>
      </c>
      <c r="D92" s="30" t="s">
        <v>52</v>
      </c>
      <c r="E92" s="30">
        <v>2</v>
      </c>
      <c r="F92" s="84" t="s">
        <v>50</v>
      </c>
      <c r="G92" s="30">
        <v>2</v>
      </c>
      <c r="H92" s="94"/>
      <c r="I92" s="1"/>
    </row>
    <row r="93" spans="1:9">
      <c r="A93" s="63">
        <v>65</v>
      </c>
      <c r="B93" s="29" t="s">
        <v>164</v>
      </c>
      <c r="C93" s="178" t="s">
        <v>189</v>
      </c>
      <c r="D93" s="30" t="s">
        <v>52</v>
      </c>
      <c r="E93" s="30">
        <v>2</v>
      </c>
      <c r="F93" s="84" t="s">
        <v>50</v>
      </c>
      <c r="G93" s="30">
        <v>2</v>
      </c>
      <c r="H93" s="94"/>
      <c r="I93" s="1"/>
    </row>
    <row r="94" spans="1:9">
      <c r="A94" s="63">
        <v>66</v>
      </c>
      <c r="B94" s="29" t="s">
        <v>265</v>
      </c>
      <c r="C94" s="178" t="s">
        <v>266</v>
      </c>
      <c r="D94" s="30" t="s">
        <v>52</v>
      </c>
      <c r="E94" s="30">
        <v>2</v>
      </c>
      <c r="F94" s="84" t="s">
        <v>50</v>
      </c>
      <c r="G94" s="30">
        <v>2</v>
      </c>
      <c r="H94" s="94"/>
      <c r="I94" s="1"/>
    </row>
    <row r="95" spans="1:9" ht="26.25">
      <c r="A95" s="63">
        <v>67</v>
      </c>
      <c r="B95" s="101" t="s">
        <v>164</v>
      </c>
      <c r="C95" s="188" t="s">
        <v>271</v>
      </c>
      <c r="D95" s="57" t="s">
        <v>52</v>
      </c>
      <c r="E95" s="30">
        <v>2</v>
      </c>
      <c r="F95" s="84" t="s">
        <v>50</v>
      </c>
      <c r="G95" s="30">
        <v>2</v>
      </c>
      <c r="H95" s="94"/>
      <c r="I95" s="1"/>
    </row>
    <row r="96" spans="1:9" ht="26.25">
      <c r="A96" s="63">
        <v>68</v>
      </c>
      <c r="B96" s="101" t="s">
        <v>164</v>
      </c>
      <c r="C96" s="188" t="s">
        <v>272</v>
      </c>
      <c r="D96" s="57" t="s">
        <v>52</v>
      </c>
      <c r="E96" s="30">
        <v>2</v>
      </c>
      <c r="F96" s="84" t="s">
        <v>50</v>
      </c>
      <c r="G96" s="30">
        <v>2</v>
      </c>
      <c r="H96" s="94"/>
      <c r="I96" s="1"/>
    </row>
    <row r="97" spans="1:9" ht="26.25">
      <c r="A97" s="63">
        <v>69</v>
      </c>
      <c r="B97" s="101" t="s">
        <v>164</v>
      </c>
      <c r="C97" s="188" t="s">
        <v>270</v>
      </c>
      <c r="D97" s="57" t="s">
        <v>52</v>
      </c>
      <c r="E97" s="30">
        <v>2</v>
      </c>
      <c r="F97" s="84" t="s">
        <v>50</v>
      </c>
      <c r="G97" s="30">
        <v>2</v>
      </c>
      <c r="H97" s="94"/>
      <c r="I97" s="1"/>
    </row>
    <row r="98" spans="1:9" ht="25.5">
      <c r="A98" s="63">
        <v>70</v>
      </c>
      <c r="B98" s="124" t="s">
        <v>174</v>
      </c>
      <c r="C98" s="178" t="s">
        <v>269</v>
      </c>
      <c r="D98" s="57" t="s">
        <v>52</v>
      </c>
      <c r="E98" s="30">
        <v>2</v>
      </c>
      <c r="F98" s="84" t="s">
        <v>50</v>
      </c>
      <c r="G98" s="30">
        <v>2</v>
      </c>
      <c r="H98" s="94"/>
      <c r="I98" s="1"/>
    </row>
    <row r="99" spans="1:9" ht="25.5">
      <c r="A99" s="63">
        <v>71</v>
      </c>
      <c r="B99" s="47" t="s">
        <v>164</v>
      </c>
      <c r="C99" s="178" t="s">
        <v>275</v>
      </c>
      <c r="D99" s="57" t="s">
        <v>52</v>
      </c>
      <c r="E99" s="30">
        <v>2</v>
      </c>
      <c r="F99" s="84" t="s">
        <v>50</v>
      </c>
      <c r="G99" s="30">
        <v>2</v>
      </c>
      <c r="H99" s="95"/>
    </row>
    <row r="100" spans="1:9" ht="102">
      <c r="A100" s="63">
        <v>72</v>
      </c>
      <c r="B100" s="124" t="s">
        <v>176</v>
      </c>
      <c r="C100" s="178" t="s">
        <v>273</v>
      </c>
      <c r="D100" s="57" t="s">
        <v>52</v>
      </c>
      <c r="E100" s="30">
        <v>2</v>
      </c>
      <c r="F100" s="84" t="s">
        <v>50</v>
      </c>
      <c r="G100" s="30">
        <v>2</v>
      </c>
      <c r="H100" s="94"/>
      <c r="I100" s="1"/>
    </row>
    <row r="101" spans="1:9">
      <c r="A101" s="63">
        <v>73</v>
      </c>
      <c r="B101" s="29" t="s">
        <v>163</v>
      </c>
      <c r="C101" s="178" t="s">
        <v>268</v>
      </c>
      <c r="D101" s="57" t="s">
        <v>52</v>
      </c>
      <c r="E101" s="30">
        <v>2</v>
      </c>
      <c r="F101" s="84" t="s">
        <v>50</v>
      </c>
      <c r="G101" s="30">
        <v>2</v>
      </c>
      <c r="H101" s="95"/>
      <c r="I101" s="1"/>
    </row>
    <row r="102" spans="1:9">
      <c r="A102" s="63">
        <v>74</v>
      </c>
      <c r="B102" s="101" t="s">
        <v>263</v>
      </c>
      <c r="C102" s="178" t="s">
        <v>264</v>
      </c>
      <c r="D102" s="57" t="s">
        <v>52</v>
      </c>
      <c r="E102" s="30">
        <v>2</v>
      </c>
      <c r="F102" s="84" t="s">
        <v>50</v>
      </c>
      <c r="G102" s="30">
        <v>2</v>
      </c>
      <c r="H102" s="95"/>
      <c r="I102" s="1"/>
    </row>
    <row r="103" spans="1:9">
      <c r="A103" s="63">
        <v>75</v>
      </c>
      <c r="B103" s="101" t="s">
        <v>263</v>
      </c>
      <c r="C103" s="178" t="s">
        <v>267</v>
      </c>
      <c r="D103" s="57" t="s">
        <v>52</v>
      </c>
      <c r="E103" s="30">
        <v>2</v>
      </c>
      <c r="F103" s="84" t="s">
        <v>50</v>
      </c>
      <c r="G103" s="30">
        <v>2</v>
      </c>
      <c r="H103" s="95"/>
      <c r="I103" s="1"/>
    </row>
    <row r="104" spans="1:9" ht="15.75" thickBot="1">
      <c r="A104" s="96">
        <v>76</v>
      </c>
      <c r="B104" s="97" t="s">
        <v>190</v>
      </c>
      <c r="C104" s="185" t="s">
        <v>191</v>
      </c>
      <c r="D104" s="186" t="s">
        <v>52</v>
      </c>
      <c r="E104" s="35">
        <v>2</v>
      </c>
      <c r="F104" s="99" t="s">
        <v>50</v>
      </c>
      <c r="G104" s="35">
        <v>2</v>
      </c>
      <c r="H104" s="100"/>
      <c r="I104" s="1"/>
    </row>
    <row r="105" spans="1:9" ht="23.25" customHeight="1" thickBot="1">
      <c r="A105" s="131" t="s">
        <v>225</v>
      </c>
      <c r="B105" s="132"/>
      <c r="C105" s="132"/>
      <c r="D105" s="132"/>
      <c r="E105" s="132"/>
      <c r="F105" s="132"/>
      <c r="G105" s="132"/>
      <c r="H105" s="133"/>
      <c r="I105" s="1"/>
    </row>
    <row r="106" spans="1:9" ht="15.75" customHeight="1">
      <c r="A106" s="134" t="s">
        <v>8</v>
      </c>
      <c r="B106" s="129"/>
      <c r="C106" s="129"/>
      <c r="D106" s="129"/>
      <c r="E106" s="129"/>
      <c r="F106" s="129"/>
      <c r="G106" s="129"/>
      <c r="H106" s="135"/>
      <c r="I106" s="1"/>
    </row>
    <row r="107" spans="1:9" ht="15" customHeight="1">
      <c r="A107" s="136" t="s">
        <v>226</v>
      </c>
      <c r="B107" s="129"/>
      <c r="C107" s="129"/>
      <c r="D107" s="129"/>
      <c r="E107" s="129"/>
      <c r="F107" s="129"/>
      <c r="G107" s="129"/>
      <c r="H107" s="135"/>
      <c r="I107" s="1"/>
    </row>
    <row r="108" spans="1:9" ht="15" customHeight="1">
      <c r="A108" s="136" t="s">
        <v>78</v>
      </c>
      <c r="B108" s="129"/>
      <c r="C108" s="129"/>
      <c r="D108" s="129"/>
      <c r="E108" s="129"/>
      <c r="F108" s="129"/>
      <c r="G108" s="129"/>
      <c r="H108" s="135"/>
      <c r="I108" s="1"/>
    </row>
    <row r="109" spans="1:9" ht="15" customHeight="1">
      <c r="A109" s="128" t="s">
        <v>79</v>
      </c>
      <c r="B109" s="129"/>
      <c r="C109" s="129"/>
      <c r="D109" s="129"/>
      <c r="E109" s="129"/>
      <c r="F109" s="129"/>
      <c r="G109" s="129"/>
      <c r="H109" s="130"/>
      <c r="I109" s="1"/>
    </row>
    <row r="110" spans="1:9" ht="15" customHeight="1">
      <c r="A110" s="136" t="s">
        <v>227</v>
      </c>
      <c r="B110" s="129"/>
      <c r="C110" s="129"/>
      <c r="D110" s="129"/>
      <c r="E110" s="129"/>
      <c r="F110" s="129"/>
      <c r="G110" s="129"/>
      <c r="H110" s="135"/>
      <c r="I110" s="1"/>
    </row>
    <row r="111" spans="1:9" ht="15" customHeight="1">
      <c r="A111" s="136" t="s">
        <v>81</v>
      </c>
      <c r="B111" s="129"/>
      <c r="C111" s="129"/>
      <c r="D111" s="129"/>
      <c r="E111" s="129"/>
      <c r="F111" s="129"/>
      <c r="G111" s="129"/>
      <c r="H111" s="135"/>
      <c r="I111" s="1"/>
    </row>
    <row r="112" spans="1:9" ht="15" customHeight="1">
      <c r="A112" s="136" t="s">
        <v>228</v>
      </c>
      <c r="B112" s="129"/>
      <c r="C112" s="129"/>
      <c r="D112" s="129"/>
      <c r="E112" s="129"/>
      <c r="F112" s="129"/>
      <c r="G112" s="129"/>
      <c r="H112" s="135"/>
      <c r="I112" s="1"/>
    </row>
    <row r="113" spans="1:9" ht="15" customHeight="1">
      <c r="A113" s="136" t="s">
        <v>83</v>
      </c>
      <c r="B113" s="129"/>
      <c r="C113" s="129"/>
      <c r="D113" s="129"/>
      <c r="E113" s="129"/>
      <c r="F113" s="129"/>
      <c r="G113" s="129"/>
      <c r="H113" s="135"/>
      <c r="I113" s="1"/>
    </row>
    <row r="114" spans="1:9" ht="15.75" customHeight="1" thickBot="1">
      <c r="A114" s="136" t="s">
        <v>84</v>
      </c>
      <c r="B114" s="129"/>
      <c r="C114" s="129"/>
      <c r="D114" s="129"/>
      <c r="E114" s="129"/>
      <c r="F114" s="129"/>
      <c r="G114" s="129"/>
      <c r="H114" s="135"/>
      <c r="I114" s="1"/>
    </row>
    <row r="115" spans="1:9" ht="60">
      <c r="A115" s="81" t="s">
        <v>6</v>
      </c>
      <c r="B115" s="82" t="s">
        <v>5</v>
      </c>
      <c r="C115" s="82" t="s">
        <v>4</v>
      </c>
      <c r="D115" s="82" t="s">
        <v>3</v>
      </c>
      <c r="E115" s="82" t="s">
        <v>2</v>
      </c>
      <c r="F115" s="82" t="s">
        <v>1</v>
      </c>
      <c r="G115" s="82" t="s">
        <v>0</v>
      </c>
      <c r="H115" s="83" t="s">
        <v>9</v>
      </c>
      <c r="I115" s="1"/>
    </row>
    <row r="116" spans="1:9">
      <c r="A116" s="104">
        <v>1</v>
      </c>
      <c r="B116" s="101" t="s">
        <v>229</v>
      </c>
      <c r="C116" s="40" t="s">
        <v>230</v>
      </c>
      <c r="D116" s="5" t="s">
        <v>49</v>
      </c>
      <c r="E116" s="84">
        <v>16</v>
      </c>
      <c r="F116" s="84" t="s">
        <v>50</v>
      </c>
      <c r="G116" s="84">
        <f>E116</f>
        <v>16</v>
      </c>
      <c r="H116" s="85"/>
      <c r="I116" s="1"/>
    </row>
    <row r="117" spans="1:9">
      <c r="A117" s="104">
        <v>2</v>
      </c>
      <c r="B117" s="101" t="s">
        <v>231</v>
      </c>
      <c r="C117" s="40" t="s">
        <v>232</v>
      </c>
      <c r="D117" s="5" t="s">
        <v>49</v>
      </c>
      <c r="E117" s="84">
        <v>1</v>
      </c>
      <c r="F117" s="84" t="s">
        <v>50</v>
      </c>
      <c r="G117" s="84">
        <f t="shared" ref="G117:G120" si="1">E117</f>
        <v>1</v>
      </c>
      <c r="H117" s="85"/>
      <c r="I117" s="1"/>
    </row>
    <row r="118" spans="1:9">
      <c r="A118" s="104">
        <v>3</v>
      </c>
      <c r="B118" s="101" t="s">
        <v>233</v>
      </c>
      <c r="C118" s="40" t="s">
        <v>233</v>
      </c>
      <c r="D118" s="5" t="s">
        <v>49</v>
      </c>
      <c r="E118" s="84">
        <v>1</v>
      </c>
      <c r="F118" s="84" t="s">
        <v>50</v>
      </c>
      <c r="G118" s="84">
        <f t="shared" si="1"/>
        <v>1</v>
      </c>
      <c r="H118" s="85"/>
      <c r="I118" s="1"/>
    </row>
    <row r="119" spans="1:9">
      <c r="A119" s="104">
        <v>4</v>
      </c>
      <c r="B119" s="101" t="s">
        <v>234</v>
      </c>
      <c r="C119" s="40" t="s">
        <v>234</v>
      </c>
      <c r="D119" s="5" t="s">
        <v>49</v>
      </c>
      <c r="E119" s="84">
        <v>32</v>
      </c>
      <c r="F119" s="84" t="s">
        <v>50</v>
      </c>
      <c r="G119" s="84">
        <f t="shared" si="1"/>
        <v>32</v>
      </c>
      <c r="H119" s="85"/>
      <c r="I119" s="1"/>
    </row>
    <row r="120" spans="1:9" ht="25.5">
      <c r="A120" s="104">
        <v>5</v>
      </c>
      <c r="B120" s="101" t="s">
        <v>235</v>
      </c>
      <c r="C120" s="40" t="s">
        <v>236</v>
      </c>
      <c r="D120" s="5" t="s">
        <v>49</v>
      </c>
      <c r="E120" s="84">
        <v>2</v>
      </c>
      <c r="F120" s="84" t="s">
        <v>50</v>
      </c>
      <c r="G120" s="84">
        <f t="shared" si="1"/>
        <v>2</v>
      </c>
      <c r="H120" s="85"/>
      <c r="I120" s="1"/>
    </row>
    <row r="121" spans="1:9">
      <c r="A121" s="104">
        <v>6</v>
      </c>
      <c r="B121" s="101" t="s">
        <v>237</v>
      </c>
      <c r="C121" s="102" t="s">
        <v>238</v>
      </c>
      <c r="D121" s="5" t="s">
        <v>103</v>
      </c>
      <c r="E121" s="84">
        <v>1</v>
      </c>
      <c r="F121" s="84" t="s">
        <v>239</v>
      </c>
      <c r="G121" s="84">
        <v>1</v>
      </c>
      <c r="H121" s="85"/>
      <c r="I121" s="1"/>
    </row>
    <row r="122" spans="1:9" ht="15.75" thickBot="1">
      <c r="A122" s="105">
        <v>7</v>
      </c>
      <c r="B122" s="103" t="s">
        <v>132</v>
      </c>
      <c r="C122" s="106" t="s">
        <v>240</v>
      </c>
      <c r="D122" s="98" t="s">
        <v>103</v>
      </c>
      <c r="E122" s="99">
        <v>1</v>
      </c>
      <c r="F122" s="99" t="s">
        <v>239</v>
      </c>
      <c r="G122" s="99">
        <v>1</v>
      </c>
      <c r="H122" s="107"/>
      <c r="I122" s="1"/>
    </row>
    <row r="123" spans="1:9" ht="23.25" customHeight="1" thickBot="1">
      <c r="A123" s="140" t="s">
        <v>16</v>
      </c>
      <c r="B123" s="141"/>
      <c r="C123" s="141"/>
      <c r="D123" s="141"/>
      <c r="E123" s="141"/>
      <c r="F123" s="141"/>
      <c r="G123" s="141"/>
      <c r="H123" s="142"/>
      <c r="I123" s="1"/>
    </row>
    <row r="124" spans="1:9" ht="15.75" customHeight="1">
      <c r="A124" s="137" t="s">
        <v>8</v>
      </c>
      <c r="B124" s="138"/>
      <c r="C124" s="138"/>
      <c r="D124" s="138"/>
      <c r="E124" s="138"/>
      <c r="F124" s="138"/>
      <c r="G124" s="138"/>
      <c r="H124" s="139"/>
      <c r="I124" s="1"/>
    </row>
    <row r="125" spans="1:9" ht="15" customHeight="1">
      <c r="A125" s="125" t="s">
        <v>241</v>
      </c>
      <c r="B125" s="126"/>
      <c r="C125" s="126"/>
      <c r="D125" s="126"/>
      <c r="E125" s="126"/>
      <c r="F125" s="126"/>
      <c r="G125" s="126"/>
      <c r="H125" s="127"/>
      <c r="I125" s="1"/>
    </row>
    <row r="126" spans="1:9" ht="15" customHeight="1">
      <c r="A126" s="128" t="s">
        <v>78</v>
      </c>
      <c r="B126" s="129"/>
      <c r="C126" s="129"/>
      <c r="D126" s="129"/>
      <c r="E126" s="129"/>
      <c r="F126" s="129"/>
      <c r="G126" s="129"/>
      <c r="H126" s="130"/>
      <c r="I126" s="1"/>
    </row>
    <row r="127" spans="1:9" ht="15" customHeight="1">
      <c r="A127" s="128" t="s">
        <v>79</v>
      </c>
      <c r="B127" s="129"/>
      <c r="C127" s="129"/>
      <c r="D127" s="129"/>
      <c r="E127" s="129"/>
      <c r="F127" s="129"/>
      <c r="G127" s="129"/>
      <c r="H127" s="130"/>
      <c r="I127" s="1"/>
    </row>
    <row r="128" spans="1:9" ht="15" customHeight="1">
      <c r="A128" s="125" t="s">
        <v>242</v>
      </c>
      <c r="B128" s="126"/>
      <c r="C128" s="126"/>
      <c r="D128" s="126"/>
      <c r="E128" s="126"/>
      <c r="F128" s="126"/>
      <c r="G128" s="126"/>
      <c r="H128" s="127"/>
      <c r="I128" s="1"/>
    </row>
    <row r="129" spans="1:9" ht="15" customHeight="1">
      <c r="A129" s="128" t="s">
        <v>81</v>
      </c>
      <c r="B129" s="129"/>
      <c r="C129" s="129"/>
      <c r="D129" s="129"/>
      <c r="E129" s="129"/>
      <c r="F129" s="129"/>
      <c r="G129" s="129"/>
      <c r="H129" s="130"/>
      <c r="I129" s="1"/>
    </row>
    <row r="130" spans="1:9" ht="15" customHeight="1">
      <c r="A130" s="125" t="s">
        <v>243</v>
      </c>
      <c r="B130" s="126"/>
      <c r="C130" s="126"/>
      <c r="D130" s="126"/>
      <c r="E130" s="126"/>
      <c r="F130" s="126"/>
      <c r="G130" s="126"/>
      <c r="H130" s="127"/>
      <c r="I130" s="1"/>
    </row>
    <row r="131" spans="1:9" ht="15" customHeight="1">
      <c r="A131" s="128" t="s">
        <v>83</v>
      </c>
      <c r="B131" s="129"/>
      <c r="C131" s="129"/>
      <c r="D131" s="129"/>
      <c r="E131" s="129"/>
      <c r="F131" s="129"/>
      <c r="G131" s="129"/>
      <c r="H131" s="130"/>
      <c r="I131" s="1"/>
    </row>
    <row r="132" spans="1:9" ht="15.75" customHeight="1" thickBot="1">
      <c r="A132" s="128" t="s">
        <v>84</v>
      </c>
      <c r="B132" s="179"/>
      <c r="C132" s="179"/>
      <c r="D132" s="179"/>
      <c r="E132" s="179"/>
      <c r="F132" s="179"/>
      <c r="G132" s="179"/>
      <c r="H132" s="130"/>
      <c r="I132" s="1"/>
    </row>
    <row r="133" spans="1:9" ht="60">
      <c r="A133" s="181" t="s">
        <v>6</v>
      </c>
      <c r="B133" s="182" t="s">
        <v>5</v>
      </c>
      <c r="C133" s="182" t="s">
        <v>4</v>
      </c>
      <c r="D133" s="182" t="s">
        <v>3</v>
      </c>
      <c r="E133" s="182" t="s">
        <v>2</v>
      </c>
      <c r="F133" s="182" t="s">
        <v>1</v>
      </c>
      <c r="G133" s="182" t="s">
        <v>0</v>
      </c>
      <c r="H133" s="183" t="s">
        <v>9</v>
      </c>
      <c r="I133" s="1"/>
    </row>
    <row r="134" spans="1:9" ht="204">
      <c r="A134" s="108">
        <v>1</v>
      </c>
      <c r="B134" s="29" t="s">
        <v>204</v>
      </c>
      <c r="C134" s="40" t="s">
        <v>192</v>
      </c>
      <c r="D134" s="30" t="s">
        <v>94</v>
      </c>
      <c r="E134" s="30">
        <v>2</v>
      </c>
      <c r="F134" s="30" t="s">
        <v>55</v>
      </c>
      <c r="G134" s="30">
        <v>2</v>
      </c>
      <c r="H134" s="109"/>
      <c r="I134" s="1"/>
    </row>
    <row r="135" spans="1:9">
      <c r="A135" s="108">
        <v>2</v>
      </c>
      <c r="B135" s="29" t="s">
        <v>244</v>
      </c>
      <c r="C135" s="40" t="s">
        <v>193</v>
      </c>
      <c r="D135" s="30" t="s">
        <v>94</v>
      </c>
      <c r="E135" s="30">
        <v>4</v>
      </c>
      <c r="F135" s="30" t="s">
        <v>55</v>
      </c>
      <c r="G135" s="30">
        <v>4</v>
      </c>
      <c r="H135" s="95"/>
      <c r="I135" s="1"/>
    </row>
    <row r="136" spans="1:9" ht="178.5">
      <c r="A136" s="108">
        <v>3</v>
      </c>
      <c r="B136" s="29" t="s">
        <v>204</v>
      </c>
      <c r="C136" s="48" t="s">
        <v>91</v>
      </c>
      <c r="D136" s="5" t="s">
        <v>94</v>
      </c>
      <c r="E136" s="84">
        <v>1</v>
      </c>
      <c r="F136" s="30" t="s">
        <v>55</v>
      </c>
      <c r="G136" s="84">
        <v>1</v>
      </c>
      <c r="H136" s="95"/>
      <c r="I136" s="1"/>
    </row>
    <row r="137" spans="1:9">
      <c r="A137" s="108">
        <v>4</v>
      </c>
      <c r="B137" s="47" t="s">
        <v>133</v>
      </c>
      <c r="C137" s="48" t="s">
        <v>134</v>
      </c>
      <c r="D137" s="5" t="s">
        <v>94</v>
      </c>
      <c r="E137" s="84">
        <v>2</v>
      </c>
      <c r="F137" s="30" t="s">
        <v>55</v>
      </c>
      <c r="G137" s="84">
        <v>2</v>
      </c>
      <c r="H137" s="95"/>
      <c r="I137" s="1"/>
    </row>
    <row r="138" spans="1:9">
      <c r="A138" s="108">
        <v>5</v>
      </c>
      <c r="B138" s="29" t="s">
        <v>197</v>
      </c>
      <c r="C138" s="116" t="s">
        <v>198</v>
      </c>
      <c r="D138" s="30" t="s">
        <v>94</v>
      </c>
      <c r="E138" s="30">
        <v>3</v>
      </c>
      <c r="F138" s="30" t="s">
        <v>55</v>
      </c>
      <c r="G138" s="30">
        <v>3</v>
      </c>
      <c r="H138" s="95"/>
      <c r="I138" s="1"/>
    </row>
    <row r="139" spans="1:9">
      <c r="A139" s="108">
        <v>6</v>
      </c>
      <c r="B139" s="29" t="s">
        <v>197</v>
      </c>
      <c r="C139" s="116" t="s">
        <v>199</v>
      </c>
      <c r="D139" s="30" t="s">
        <v>94</v>
      </c>
      <c r="E139" s="30">
        <v>2</v>
      </c>
      <c r="F139" s="30" t="s">
        <v>55</v>
      </c>
      <c r="G139" s="30">
        <v>2</v>
      </c>
      <c r="H139" s="95"/>
      <c r="I139" s="1"/>
    </row>
    <row r="140" spans="1:9" ht="25.5">
      <c r="A140" s="108">
        <v>7</v>
      </c>
      <c r="B140" s="117" t="s">
        <v>139</v>
      </c>
      <c r="C140" s="48" t="s">
        <v>140</v>
      </c>
      <c r="D140" s="30" t="s">
        <v>94</v>
      </c>
      <c r="E140" s="30">
        <v>1</v>
      </c>
      <c r="F140" s="30" t="s">
        <v>55</v>
      </c>
      <c r="G140" s="30">
        <v>1</v>
      </c>
      <c r="H140" s="95"/>
      <c r="I140" s="1"/>
    </row>
    <row r="141" spans="1:9">
      <c r="A141" s="108">
        <v>8</v>
      </c>
      <c r="B141" s="118" t="s">
        <v>135</v>
      </c>
      <c r="C141" s="22" t="s">
        <v>195</v>
      </c>
      <c r="D141" s="30" t="s">
        <v>94</v>
      </c>
      <c r="E141" s="84">
        <v>3</v>
      </c>
      <c r="F141" s="30" t="s">
        <v>55</v>
      </c>
      <c r="G141" s="30">
        <v>3</v>
      </c>
      <c r="H141" s="93"/>
      <c r="I141" s="1"/>
    </row>
    <row r="142" spans="1:9" ht="25.5">
      <c r="A142" s="108">
        <v>9</v>
      </c>
      <c r="B142" s="118" t="s">
        <v>137</v>
      </c>
      <c r="C142" s="22" t="s">
        <v>196</v>
      </c>
      <c r="D142" s="30" t="s">
        <v>94</v>
      </c>
      <c r="E142" s="84">
        <v>3</v>
      </c>
      <c r="F142" s="30" t="s">
        <v>55</v>
      </c>
      <c r="G142" s="30">
        <v>3</v>
      </c>
      <c r="H142" s="93"/>
      <c r="I142" s="1"/>
    </row>
    <row r="143" spans="1:9" ht="38.25">
      <c r="A143" s="108">
        <v>10</v>
      </c>
      <c r="B143" s="29" t="s">
        <v>200</v>
      </c>
      <c r="C143" s="40" t="s">
        <v>201</v>
      </c>
      <c r="D143" s="30" t="s">
        <v>94</v>
      </c>
      <c r="E143" s="30">
        <v>2</v>
      </c>
      <c r="F143" s="30" t="s">
        <v>55</v>
      </c>
      <c r="G143" s="30">
        <v>2</v>
      </c>
      <c r="H143" s="95"/>
      <c r="I143" s="1"/>
    </row>
    <row r="144" spans="1:9">
      <c r="A144" s="108">
        <v>11</v>
      </c>
      <c r="B144" s="29" t="s">
        <v>202</v>
      </c>
      <c r="C144" s="40" t="s">
        <v>203</v>
      </c>
      <c r="D144" s="30" t="s">
        <v>94</v>
      </c>
      <c r="E144" s="30">
        <v>13</v>
      </c>
      <c r="F144" s="30" t="s">
        <v>55</v>
      </c>
      <c r="G144" s="30">
        <v>13</v>
      </c>
      <c r="H144" s="95"/>
      <c r="I144" s="1"/>
    </row>
    <row r="145" spans="1:9">
      <c r="A145" s="108">
        <v>12</v>
      </c>
      <c r="B145" s="47" t="s">
        <v>145</v>
      </c>
      <c r="C145" s="176" t="s">
        <v>146</v>
      </c>
      <c r="D145" s="42" t="s">
        <v>52</v>
      </c>
      <c r="E145" s="84">
        <v>3</v>
      </c>
      <c r="F145" s="30" t="s">
        <v>55</v>
      </c>
      <c r="G145" s="30">
        <v>3</v>
      </c>
      <c r="H145" s="95"/>
      <c r="I145" s="1"/>
    </row>
    <row r="146" spans="1:9">
      <c r="A146" s="108">
        <v>13</v>
      </c>
      <c r="B146" s="47" t="s">
        <v>147</v>
      </c>
      <c r="C146" s="176" t="s">
        <v>148</v>
      </c>
      <c r="D146" s="42" t="s">
        <v>52</v>
      </c>
      <c r="E146" s="84">
        <v>3</v>
      </c>
      <c r="F146" s="30" t="s">
        <v>55</v>
      </c>
      <c r="G146" s="30">
        <v>3</v>
      </c>
      <c r="H146" s="95"/>
      <c r="I146" s="1"/>
    </row>
    <row r="147" spans="1:9">
      <c r="A147" s="108">
        <v>14</v>
      </c>
      <c r="B147" s="47" t="s">
        <v>149</v>
      </c>
      <c r="C147" s="176" t="s">
        <v>150</v>
      </c>
      <c r="D147" s="42" t="s">
        <v>52</v>
      </c>
      <c r="E147" s="84">
        <v>3</v>
      </c>
      <c r="F147" s="30" t="s">
        <v>55</v>
      </c>
      <c r="G147" s="30">
        <v>3</v>
      </c>
      <c r="H147" s="95"/>
      <c r="I147" s="1"/>
    </row>
    <row r="148" spans="1:9">
      <c r="A148" s="108">
        <v>15</v>
      </c>
      <c r="B148" s="47" t="s">
        <v>151</v>
      </c>
      <c r="C148" s="176" t="s">
        <v>152</v>
      </c>
      <c r="D148" s="42" t="s">
        <v>52</v>
      </c>
      <c r="E148" s="84">
        <v>3</v>
      </c>
      <c r="F148" s="30" t="s">
        <v>55</v>
      </c>
      <c r="G148" s="30">
        <v>3</v>
      </c>
      <c r="H148" s="95"/>
      <c r="I148" s="1"/>
    </row>
    <row r="149" spans="1:9">
      <c r="A149" s="108">
        <v>16</v>
      </c>
      <c r="B149" s="47" t="s">
        <v>153</v>
      </c>
      <c r="C149" s="176" t="s">
        <v>154</v>
      </c>
      <c r="D149" s="42" t="s">
        <v>52</v>
      </c>
      <c r="E149" s="84">
        <v>3</v>
      </c>
      <c r="F149" s="30" t="s">
        <v>55</v>
      </c>
      <c r="G149" s="30">
        <v>3</v>
      </c>
      <c r="H149" s="95"/>
      <c r="I149" s="1"/>
    </row>
    <row r="150" spans="1:9">
      <c r="A150" s="108">
        <v>17</v>
      </c>
      <c r="B150" s="47" t="s">
        <v>153</v>
      </c>
      <c r="C150" s="176" t="s">
        <v>155</v>
      </c>
      <c r="D150" s="42" t="s">
        <v>52</v>
      </c>
      <c r="E150" s="84">
        <v>3</v>
      </c>
      <c r="F150" s="30" t="s">
        <v>55</v>
      </c>
      <c r="G150" s="30">
        <v>3</v>
      </c>
      <c r="H150" s="95"/>
      <c r="I150" s="1"/>
    </row>
    <row r="151" spans="1:9">
      <c r="A151" s="108">
        <v>18</v>
      </c>
      <c r="B151" s="47" t="s">
        <v>156</v>
      </c>
      <c r="C151" s="176" t="s">
        <v>157</v>
      </c>
      <c r="D151" s="42" t="s">
        <v>52</v>
      </c>
      <c r="E151" s="84">
        <v>3</v>
      </c>
      <c r="F151" s="30" t="s">
        <v>55</v>
      </c>
      <c r="G151" s="30">
        <v>3</v>
      </c>
      <c r="H151" s="95"/>
      <c r="I151" s="1"/>
    </row>
    <row r="152" spans="1:9">
      <c r="A152" s="108">
        <v>19</v>
      </c>
      <c r="B152" s="47" t="s">
        <v>156</v>
      </c>
      <c r="C152" s="176" t="s">
        <v>158</v>
      </c>
      <c r="D152" s="42" t="s">
        <v>52</v>
      </c>
      <c r="E152" s="84">
        <v>3</v>
      </c>
      <c r="F152" s="30" t="s">
        <v>55</v>
      </c>
      <c r="G152" s="30">
        <v>3</v>
      </c>
      <c r="H152" s="95"/>
      <c r="I152" s="1"/>
    </row>
    <row r="153" spans="1:9" ht="25.5">
      <c r="A153" s="108">
        <v>20</v>
      </c>
      <c r="B153" s="47" t="s">
        <v>159</v>
      </c>
      <c r="C153" s="176" t="s">
        <v>160</v>
      </c>
      <c r="D153" s="42" t="s">
        <v>52</v>
      </c>
      <c r="E153" s="84">
        <v>3</v>
      </c>
      <c r="F153" s="30" t="s">
        <v>55</v>
      </c>
      <c r="G153" s="30">
        <v>3</v>
      </c>
      <c r="H153" s="95"/>
      <c r="I153" s="1"/>
    </row>
    <row r="154" spans="1:9" ht="76.5">
      <c r="A154" s="108">
        <v>21</v>
      </c>
      <c r="B154" s="47" t="s">
        <v>161</v>
      </c>
      <c r="C154" s="176" t="s">
        <v>162</v>
      </c>
      <c r="D154" s="42" t="s">
        <v>52</v>
      </c>
      <c r="E154" s="84">
        <v>3</v>
      </c>
      <c r="F154" s="30" t="s">
        <v>55</v>
      </c>
      <c r="G154" s="30">
        <v>3</v>
      </c>
      <c r="H154" s="95"/>
      <c r="I154" s="1"/>
    </row>
    <row r="155" spans="1:9" ht="178.5">
      <c r="A155" s="108">
        <v>22</v>
      </c>
      <c r="B155" s="47" t="s">
        <v>163</v>
      </c>
      <c r="C155" s="176" t="s">
        <v>205</v>
      </c>
      <c r="D155" s="42" t="s">
        <v>52</v>
      </c>
      <c r="E155" s="84">
        <v>3</v>
      </c>
      <c r="F155" s="30" t="s">
        <v>55</v>
      </c>
      <c r="G155" s="30">
        <v>3</v>
      </c>
      <c r="H155" s="95"/>
      <c r="I155" s="1"/>
    </row>
    <row r="156" spans="1:9" ht="25.5">
      <c r="A156" s="108">
        <v>23</v>
      </c>
      <c r="B156" s="47" t="s">
        <v>164</v>
      </c>
      <c r="C156" s="176" t="s">
        <v>165</v>
      </c>
      <c r="D156" s="42" t="s">
        <v>52</v>
      </c>
      <c r="E156" s="84">
        <v>3</v>
      </c>
      <c r="F156" s="30" t="s">
        <v>55</v>
      </c>
      <c r="G156" s="30">
        <v>3</v>
      </c>
      <c r="H156" s="95"/>
      <c r="I156" s="1"/>
    </row>
    <row r="157" spans="1:9" ht="25.5">
      <c r="A157" s="108">
        <v>24</v>
      </c>
      <c r="B157" s="47" t="s">
        <v>164</v>
      </c>
      <c r="C157" s="176" t="s">
        <v>166</v>
      </c>
      <c r="D157" s="42" t="s">
        <v>52</v>
      </c>
      <c r="E157" s="84">
        <v>3</v>
      </c>
      <c r="F157" s="30" t="s">
        <v>55</v>
      </c>
      <c r="G157" s="30">
        <v>3</v>
      </c>
      <c r="H157" s="95"/>
      <c r="I157" s="1"/>
    </row>
    <row r="158" spans="1:9" ht="25.5">
      <c r="A158" s="108">
        <v>25</v>
      </c>
      <c r="B158" s="47" t="s">
        <v>164</v>
      </c>
      <c r="C158" s="176" t="s">
        <v>167</v>
      </c>
      <c r="D158" s="42" t="s">
        <v>52</v>
      </c>
      <c r="E158" s="84">
        <v>3</v>
      </c>
      <c r="F158" s="30" t="s">
        <v>55</v>
      </c>
      <c r="G158" s="30">
        <v>3</v>
      </c>
      <c r="H158" s="95"/>
    </row>
    <row r="159" spans="1:9" ht="25.5">
      <c r="A159" s="108">
        <v>26</v>
      </c>
      <c r="B159" s="47" t="s">
        <v>163</v>
      </c>
      <c r="C159" s="176" t="s">
        <v>168</v>
      </c>
      <c r="D159" s="42" t="s">
        <v>52</v>
      </c>
      <c r="E159" s="84">
        <v>3</v>
      </c>
      <c r="F159" s="30" t="s">
        <v>55</v>
      </c>
      <c r="G159" s="30">
        <v>3</v>
      </c>
      <c r="H159" s="95"/>
    </row>
    <row r="160" spans="1:9" ht="25.5">
      <c r="A160" s="108">
        <v>27</v>
      </c>
      <c r="B160" s="47" t="s">
        <v>169</v>
      </c>
      <c r="C160" s="176" t="s">
        <v>170</v>
      </c>
      <c r="D160" s="42" t="s">
        <v>52</v>
      </c>
      <c r="E160" s="84">
        <v>3</v>
      </c>
      <c r="F160" s="30" t="s">
        <v>55</v>
      </c>
      <c r="G160" s="30">
        <v>3</v>
      </c>
      <c r="H160" s="95"/>
    </row>
    <row r="161" spans="1:9" ht="25.5">
      <c r="A161" s="108">
        <v>28</v>
      </c>
      <c r="B161" s="47" t="s">
        <v>164</v>
      </c>
      <c r="C161" s="176" t="s">
        <v>171</v>
      </c>
      <c r="D161" s="42" t="s">
        <v>52</v>
      </c>
      <c r="E161" s="84">
        <v>3</v>
      </c>
      <c r="F161" s="30" t="s">
        <v>55</v>
      </c>
      <c r="G161" s="30">
        <v>3</v>
      </c>
      <c r="H161" s="95"/>
    </row>
    <row r="162" spans="1:9" ht="25.5">
      <c r="A162" s="108">
        <v>29</v>
      </c>
      <c r="B162" s="47" t="s">
        <v>163</v>
      </c>
      <c r="C162" s="176" t="s">
        <v>172</v>
      </c>
      <c r="D162" s="42" t="s">
        <v>52</v>
      </c>
      <c r="E162" s="84">
        <v>3</v>
      </c>
      <c r="F162" s="30" t="s">
        <v>55</v>
      </c>
      <c r="G162" s="30">
        <v>3</v>
      </c>
      <c r="H162" s="95"/>
    </row>
    <row r="163" spans="1:9" ht="38.25">
      <c r="A163" s="108">
        <v>30</v>
      </c>
      <c r="B163" s="47" t="s">
        <v>163</v>
      </c>
      <c r="C163" s="176" t="s">
        <v>173</v>
      </c>
      <c r="D163" s="42" t="s">
        <v>52</v>
      </c>
      <c r="E163" s="84">
        <v>3</v>
      </c>
      <c r="F163" s="30" t="s">
        <v>55</v>
      </c>
      <c r="G163" s="30">
        <v>3</v>
      </c>
      <c r="H163" s="95"/>
      <c r="I163" s="1"/>
    </row>
    <row r="164" spans="1:9" ht="76.5">
      <c r="A164" s="108">
        <v>31</v>
      </c>
      <c r="B164" s="47" t="s">
        <v>174</v>
      </c>
      <c r="C164" s="176" t="s">
        <v>274</v>
      </c>
      <c r="D164" s="42" t="s">
        <v>52</v>
      </c>
      <c r="E164" s="84">
        <v>3</v>
      </c>
      <c r="F164" s="30" t="s">
        <v>55</v>
      </c>
      <c r="G164" s="30">
        <v>3</v>
      </c>
      <c r="H164" s="95"/>
      <c r="I164" s="1"/>
    </row>
    <row r="165" spans="1:9" ht="89.25">
      <c r="A165" s="108">
        <v>32</v>
      </c>
      <c r="B165" s="47" t="s">
        <v>176</v>
      </c>
      <c r="C165" s="176" t="s">
        <v>177</v>
      </c>
      <c r="D165" s="42" t="s">
        <v>52</v>
      </c>
      <c r="E165" s="84">
        <v>3</v>
      </c>
      <c r="F165" s="30" t="s">
        <v>55</v>
      </c>
      <c r="G165" s="30">
        <v>3</v>
      </c>
      <c r="H165" s="95"/>
      <c r="I165" s="1"/>
    </row>
    <row r="166" spans="1:9" ht="25.5">
      <c r="A166" s="108">
        <v>33</v>
      </c>
      <c r="B166" s="47" t="s">
        <v>163</v>
      </c>
      <c r="C166" s="176" t="s">
        <v>178</v>
      </c>
      <c r="D166" s="42" t="s">
        <v>52</v>
      </c>
      <c r="E166" s="84">
        <v>3</v>
      </c>
      <c r="F166" s="30" t="s">
        <v>55</v>
      </c>
      <c r="G166" s="30">
        <v>3</v>
      </c>
      <c r="H166" s="95"/>
      <c r="I166" s="1"/>
    </row>
    <row r="167" spans="1:9">
      <c r="A167" s="108">
        <v>34</v>
      </c>
      <c r="B167" s="124" t="s">
        <v>54</v>
      </c>
      <c r="C167" s="176" t="s">
        <v>261</v>
      </c>
      <c r="D167" s="42"/>
      <c r="E167" s="84">
        <v>3</v>
      </c>
      <c r="F167" s="30" t="s">
        <v>55</v>
      </c>
      <c r="G167" s="30">
        <v>3</v>
      </c>
      <c r="H167" s="95"/>
    </row>
    <row r="168" spans="1:9" ht="38.25">
      <c r="A168" s="108">
        <v>35</v>
      </c>
      <c r="B168" s="47" t="s">
        <v>54</v>
      </c>
      <c r="C168" s="176" t="s">
        <v>179</v>
      </c>
      <c r="D168" s="42" t="s">
        <v>52</v>
      </c>
      <c r="E168" s="84">
        <v>3</v>
      </c>
      <c r="F168" s="30" t="s">
        <v>55</v>
      </c>
      <c r="G168" s="30">
        <v>3</v>
      </c>
      <c r="H168" s="95"/>
    </row>
    <row r="169" spans="1:9" ht="409.5">
      <c r="A169" s="108">
        <v>36</v>
      </c>
      <c r="B169" s="47" t="s">
        <v>54</v>
      </c>
      <c r="C169" s="176" t="s">
        <v>262</v>
      </c>
      <c r="D169" s="42" t="s">
        <v>52</v>
      </c>
      <c r="E169" s="84">
        <v>3</v>
      </c>
      <c r="F169" s="30" t="s">
        <v>55</v>
      </c>
      <c r="G169" s="30">
        <v>3</v>
      </c>
      <c r="H169" s="95"/>
    </row>
    <row r="170" spans="1:9" ht="25.5">
      <c r="A170" s="108">
        <v>37</v>
      </c>
      <c r="B170" s="47" t="s">
        <v>180</v>
      </c>
      <c r="C170" s="176" t="s">
        <v>181</v>
      </c>
      <c r="D170" s="42" t="s">
        <v>52</v>
      </c>
      <c r="E170" s="84">
        <v>3</v>
      </c>
      <c r="F170" s="30" t="s">
        <v>55</v>
      </c>
      <c r="G170" s="30">
        <v>3</v>
      </c>
      <c r="H170" s="95"/>
    </row>
    <row r="171" spans="1:9" ht="25.5">
      <c r="A171" s="108">
        <v>38</v>
      </c>
      <c r="B171" s="47" t="s">
        <v>182</v>
      </c>
      <c r="C171" s="176" t="s">
        <v>183</v>
      </c>
      <c r="D171" s="42" t="s">
        <v>52</v>
      </c>
      <c r="E171" s="84">
        <v>3</v>
      </c>
      <c r="F171" s="30" t="s">
        <v>55</v>
      </c>
      <c r="G171" s="30">
        <v>3</v>
      </c>
      <c r="H171" s="95"/>
    </row>
    <row r="172" spans="1:9" ht="25.5">
      <c r="A172" s="108">
        <v>39</v>
      </c>
      <c r="B172" s="47" t="s">
        <v>182</v>
      </c>
      <c r="C172" s="176" t="s">
        <v>184</v>
      </c>
      <c r="D172" s="42" t="s">
        <v>52</v>
      </c>
      <c r="E172" s="84">
        <v>3</v>
      </c>
      <c r="F172" s="30" t="s">
        <v>55</v>
      </c>
      <c r="G172" s="30">
        <v>3</v>
      </c>
      <c r="H172" s="95"/>
    </row>
    <row r="173" spans="1:9">
      <c r="A173" s="108">
        <v>40</v>
      </c>
      <c r="B173" s="47" t="s">
        <v>182</v>
      </c>
      <c r="C173" s="176" t="s">
        <v>185</v>
      </c>
      <c r="D173" s="42" t="s">
        <v>52</v>
      </c>
      <c r="E173" s="84">
        <v>3</v>
      </c>
      <c r="F173" s="30" t="s">
        <v>55</v>
      </c>
      <c r="G173" s="30">
        <v>3</v>
      </c>
      <c r="H173" s="95"/>
    </row>
    <row r="174" spans="1:9">
      <c r="A174" s="108">
        <v>41</v>
      </c>
      <c r="B174" s="47" t="s">
        <v>182</v>
      </c>
      <c r="C174" s="176" t="s">
        <v>186</v>
      </c>
      <c r="D174" s="42" t="s">
        <v>52</v>
      </c>
      <c r="E174" s="84">
        <v>3</v>
      </c>
      <c r="F174" s="30" t="s">
        <v>55</v>
      </c>
      <c r="G174" s="30">
        <v>3</v>
      </c>
      <c r="H174" s="95"/>
    </row>
    <row r="175" spans="1:9" ht="25.5">
      <c r="A175" s="108">
        <v>42</v>
      </c>
      <c r="B175" s="117" t="s">
        <v>182</v>
      </c>
      <c r="C175" s="177" t="s">
        <v>255</v>
      </c>
      <c r="D175" s="5" t="s">
        <v>52</v>
      </c>
      <c r="E175" s="84">
        <v>3</v>
      </c>
      <c r="F175" s="30" t="s">
        <v>55</v>
      </c>
      <c r="G175" s="30">
        <v>3</v>
      </c>
      <c r="H175" s="95"/>
    </row>
    <row r="176" spans="1:9" ht="102">
      <c r="A176" s="108">
        <v>43</v>
      </c>
      <c r="B176" s="29" t="s">
        <v>163</v>
      </c>
      <c r="C176" s="178" t="s">
        <v>187</v>
      </c>
      <c r="D176" s="30" t="s">
        <v>52</v>
      </c>
      <c r="E176" s="84">
        <v>3</v>
      </c>
      <c r="F176" s="30" t="s">
        <v>55</v>
      </c>
      <c r="G176" s="30">
        <v>3</v>
      </c>
      <c r="H176" s="95"/>
    </row>
    <row r="177" spans="1:8" ht="102">
      <c r="A177" s="108">
        <v>44</v>
      </c>
      <c r="B177" s="29" t="s">
        <v>163</v>
      </c>
      <c r="C177" s="178" t="s">
        <v>188</v>
      </c>
      <c r="D177" s="30" t="s">
        <v>52</v>
      </c>
      <c r="E177" s="84">
        <v>3</v>
      </c>
      <c r="F177" s="30" t="s">
        <v>55</v>
      </c>
      <c r="G177" s="30">
        <v>3</v>
      </c>
      <c r="H177" s="95"/>
    </row>
    <row r="178" spans="1:8">
      <c r="A178" s="108">
        <v>45</v>
      </c>
      <c r="B178" s="29" t="s">
        <v>164</v>
      </c>
      <c r="C178" s="178" t="s">
        <v>189</v>
      </c>
      <c r="D178" s="30" t="s">
        <v>52</v>
      </c>
      <c r="E178" s="84">
        <v>3</v>
      </c>
      <c r="F178" s="30" t="s">
        <v>55</v>
      </c>
      <c r="G178" s="30">
        <v>3</v>
      </c>
      <c r="H178" s="95"/>
    </row>
    <row r="179" spans="1:8">
      <c r="A179" s="108">
        <v>46</v>
      </c>
      <c r="B179" s="29" t="s">
        <v>265</v>
      </c>
      <c r="C179" s="178" t="s">
        <v>266</v>
      </c>
      <c r="D179" s="30" t="s">
        <v>52</v>
      </c>
      <c r="E179" s="84">
        <v>3</v>
      </c>
      <c r="F179" s="30" t="s">
        <v>55</v>
      </c>
      <c r="G179" s="30">
        <v>3</v>
      </c>
      <c r="H179" s="95"/>
    </row>
    <row r="180" spans="1:8" ht="26.25">
      <c r="A180" s="108">
        <v>47</v>
      </c>
      <c r="B180" s="101" t="s">
        <v>164</v>
      </c>
      <c r="C180" s="188" t="s">
        <v>271</v>
      </c>
      <c r="D180" s="57" t="s">
        <v>52</v>
      </c>
      <c r="E180" s="84">
        <v>3</v>
      </c>
      <c r="F180" s="30" t="s">
        <v>55</v>
      </c>
      <c r="G180" s="30">
        <v>3</v>
      </c>
      <c r="H180" s="95"/>
    </row>
    <row r="181" spans="1:8" ht="26.25">
      <c r="A181" s="108">
        <v>48</v>
      </c>
      <c r="B181" s="101" t="s">
        <v>164</v>
      </c>
      <c r="C181" s="188" t="s">
        <v>272</v>
      </c>
      <c r="D181" s="57" t="s">
        <v>52</v>
      </c>
      <c r="E181" s="84">
        <v>3</v>
      </c>
      <c r="F181" s="30" t="s">
        <v>55</v>
      </c>
      <c r="G181" s="30">
        <v>3</v>
      </c>
      <c r="H181" s="95"/>
    </row>
    <row r="182" spans="1:8" ht="26.25">
      <c r="A182" s="108">
        <v>49</v>
      </c>
      <c r="B182" s="101" t="s">
        <v>164</v>
      </c>
      <c r="C182" s="188" t="s">
        <v>270</v>
      </c>
      <c r="D182" s="57" t="s">
        <v>52</v>
      </c>
      <c r="E182" s="84">
        <v>3</v>
      </c>
      <c r="F182" s="30" t="s">
        <v>55</v>
      </c>
      <c r="G182" s="30">
        <v>3</v>
      </c>
      <c r="H182" s="95"/>
    </row>
    <row r="183" spans="1:8" ht="25.5">
      <c r="A183" s="108">
        <v>50</v>
      </c>
      <c r="B183" s="124" t="s">
        <v>174</v>
      </c>
      <c r="C183" s="178" t="s">
        <v>269</v>
      </c>
      <c r="D183" s="57" t="s">
        <v>52</v>
      </c>
      <c r="E183" s="84">
        <v>3</v>
      </c>
      <c r="F183" s="30" t="s">
        <v>55</v>
      </c>
      <c r="G183" s="30">
        <v>3</v>
      </c>
      <c r="H183" s="95"/>
    </row>
    <row r="184" spans="1:8" ht="25.5">
      <c r="A184" s="108">
        <v>51</v>
      </c>
      <c r="B184" s="47" t="s">
        <v>164</v>
      </c>
      <c r="C184" s="178" t="s">
        <v>275</v>
      </c>
      <c r="D184" s="57" t="s">
        <v>52</v>
      </c>
      <c r="E184" s="84">
        <v>3</v>
      </c>
      <c r="F184" s="30" t="s">
        <v>55</v>
      </c>
      <c r="G184" s="30">
        <v>3</v>
      </c>
      <c r="H184" s="95"/>
    </row>
    <row r="185" spans="1:8" ht="102">
      <c r="A185" s="108">
        <v>52</v>
      </c>
      <c r="B185" s="124" t="s">
        <v>176</v>
      </c>
      <c r="C185" s="178" t="s">
        <v>273</v>
      </c>
      <c r="D185" s="57" t="s">
        <v>52</v>
      </c>
      <c r="E185" s="84">
        <v>3</v>
      </c>
      <c r="F185" s="30" t="s">
        <v>55</v>
      </c>
      <c r="G185" s="30">
        <v>3</v>
      </c>
      <c r="H185" s="95"/>
    </row>
    <row r="186" spans="1:8">
      <c r="A186" s="108">
        <v>53</v>
      </c>
      <c r="B186" s="29" t="s">
        <v>163</v>
      </c>
      <c r="C186" s="178" t="s">
        <v>268</v>
      </c>
      <c r="D186" s="57" t="s">
        <v>52</v>
      </c>
      <c r="E186" s="84">
        <v>3</v>
      </c>
      <c r="F186" s="30" t="s">
        <v>55</v>
      </c>
      <c r="G186" s="30">
        <v>3</v>
      </c>
      <c r="H186" s="95"/>
    </row>
    <row r="187" spans="1:8">
      <c r="A187" s="108">
        <v>54</v>
      </c>
      <c r="B187" s="101" t="s">
        <v>263</v>
      </c>
      <c r="C187" s="178" t="s">
        <v>264</v>
      </c>
      <c r="D187" s="57" t="s">
        <v>52</v>
      </c>
      <c r="E187" s="84">
        <v>3</v>
      </c>
      <c r="F187" s="30" t="s">
        <v>55</v>
      </c>
      <c r="G187" s="30">
        <v>3</v>
      </c>
      <c r="H187" s="95"/>
    </row>
    <row r="188" spans="1:8">
      <c r="A188" s="108">
        <v>55</v>
      </c>
      <c r="B188" s="101" t="s">
        <v>263</v>
      </c>
      <c r="C188" s="178" t="s">
        <v>267</v>
      </c>
      <c r="D188" s="57" t="s">
        <v>52</v>
      </c>
      <c r="E188" s="84">
        <v>3</v>
      </c>
      <c r="F188" s="30" t="s">
        <v>55</v>
      </c>
      <c r="G188" s="30">
        <v>3</v>
      </c>
      <c r="H188" s="95"/>
    </row>
    <row r="189" spans="1:8">
      <c r="A189" s="108">
        <v>56</v>
      </c>
      <c r="B189" s="47" t="s">
        <v>190</v>
      </c>
      <c r="C189" s="180" t="s">
        <v>191</v>
      </c>
      <c r="D189" s="42" t="s">
        <v>52</v>
      </c>
      <c r="E189" s="84">
        <v>3</v>
      </c>
      <c r="F189" s="30" t="s">
        <v>55</v>
      </c>
      <c r="G189" s="30">
        <v>3</v>
      </c>
      <c r="H189" s="95"/>
    </row>
    <row r="190" spans="1:8">
      <c r="A190" s="108">
        <v>57</v>
      </c>
      <c r="B190" s="29" t="s">
        <v>245</v>
      </c>
      <c r="C190" s="40" t="s">
        <v>246</v>
      </c>
      <c r="D190" s="30" t="s">
        <v>94</v>
      </c>
      <c r="E190" s="30">
        <v>1</v>
      </c>
      <c r="F190" s="30" t="s">
        <v>55</v>
      </c>
      <c r="G190" s="30">
        <f>E190</f>
        <v>1</v>
      </c>
      <c r="H190" s="94"/>
    </row>
    <row r="191" spans="1:8">
      <c r="A191" s="108">
        <v>58</v>
      </c>
      <c r="B191" s="29" t="s">
        <v>247</v>
      </c>
      <c r="C191" s="40" t="s">
        <v>248</v>
      </c>
      <c r="D191" s="30" t="s">
        <v>94</v>
      </c>
      <c r="E191" s="30">
        <v>1</v>
      </c>
      <c r="F191" s="30" t="s">
        <v>55</v>
      </c>
      <c r="G191" s="30">
        <f>E191</f>
        <v>1</v>
      </c>
      <c r="H191" s="94"/>
    </row>
    <row r="192" spans="1:8">
      <c r="A192" s="108">
        <v>59</v>
      </c>
      <c r="B192" s="29" t="s">
        <v>132</v>
      </c>
      <c r="C192" s="40" t="s">
        <v>132</v>
      </c>
      <c r="D192" s="30" t="s">
        <v>103</v>
      </c>
      <c r="E192" s="30">
        <v>1</v>
      </c>
      <c r="F192" s="30" t="s">
        <v>55</v>
      </c>
      <c r="G192" s="30">
        <v>1</v>
      </c>
      <c r="H192" s="110"/>
    </row>
    <row r="193" spans="1:8">
      <c r="A193" s="108">
        <v>60</v>
      </c>
      <c r="B193" s="119" t="s">
        <v>231</v>
      </c>
      <c r="C193" s="116" t="s">
        <v>249</v>
      </c>
      <c r="D193" s="112" t="s">
        <v>49</v>
      </c>
      <c r="E193" s="111">
        <v>1</v>
      </c>
      <c r="F193" s="30" t="s">
        <v>55</v>
      </c>
      <c r="G193" s="113">
        <v>1</v>
      </c>
      <c r="H193" s="110"/>
    </row>
    <row r="194" spans="1:8">
      <c r="A194" s="108">
        <v>61</v>
      </c>
      <c r="B194" s="119" t="s">
        <v>229</v>
      </c>
      <c r="C194" s="116" t="s">
        <v>250</v>
      </c>
      <c r="D194" s="112" t="s">
        <v>49</v>
      </c>
      <c r="E194" s="111">
        <v>15</v>
      </c>
      <c r="F194" s="30" t="s">
        <v>55</v>
      </c>
      <c r="G194" s="113">
        <v>15</v>
      </c>
      <c r="H194" s="110"/>
    </row>
    <row r="195" spans="1:8">
      <c r="A195" s="108">
        <v>62</v>
      </c>
      <c r="B195" s="120" t="s">
        <v>233</v>
      </c>
      <c r="C195" s="121" t="s">
        <v>233</v>
      </c>
      <c r="D195" s="92" t="s">
        <v>49</v>
      </c>
      <c r="E195" s="57">
        <v>1</v>
      </c>
      <c r="F195" s="30" t="s">
        <v>55</v>
      </c>
      <c r="G195" s="30">
        <v>1</v>
      </c>
      <c r="H195" s="110"/>
    </row>
    <row r="196" spans="1:8">
      <c r="A196" s="108">
        <v>63</v>
      </c>
      <c r="B196" s="120" t="s">
        <v>234</v>
      </c>
      <c r="C196" s="121" t="s">
        <v>234</v>
      </c>
      <c r="D196" s="92" t="s">
        <v>49</v>
      </c>
      <c r="E196" s="57">
        <v>27</v>
      </c>
      <c r="F196" s="30" t="s">
        <v>55</v>
      </c>
      <c r="G196" s="30">
        <v>27</v>
      </c>
      <c r="H196" s="110"/>
    </row>
    <row r="197" spans="1:8">
      <c r="A197" s="108">
        <v>64</v>
      </c>
      <c r="B197" s="117" t="s">
        <v>110</v>
      </c>
      <c r="C197" s="49" t="s">
        <v>251</v>
      </c>
      <c r="D197" s="5" t="s">
        <v>94</v>
      </c>
      <c r="E197" s="84">
        <v>1</v>
      </c>
      <c r="F197" s="30" t="s">
        <v>55</v>
      </c>
      <c r="G197" s="84">
        <v>1</v>
      </c>
      <c r="H197" s="85"/>
    </row>
    <row r="198" spans="1:8">
      <c r="A198" s="108">
        <v>65</v>
      </c>
      <c r="B198" s="117" t="s">
        <v>114</v>
      </c>
      <c r="C198" s="49" t="s">
        <v>252</v>
      </c>
      <c r="D198" s="5" t="s">
        <v>94</v>
      </c>
      <c r="E198" s="84">
        <v>1</v>
      </c>
      <c r="F198" s="30" t="s">
        <v>55</v>
      </c>
      <c r="G198" s="84">
        <v>1</v>
      </c>
      <c r="H198" s="85"/>
    </row>
    <row r="199" spans="1:8">
      <c r="A199" s="108">
        <v>66</v>
      </c>
      <c r="B199" s="117" t="s">
        <v>124</v>
      </c>
      <c r="C199" s="49" t="s">
        <v>125</v>
      </c>
      <c r="D199" s="89" t="s">
        <v>49</v>
      </c>
      <c r="E199" s="84">
        <v>1</v>
      </c>
      <c r="F199" s="30" t="s">
        <v>55</v>
      </c>
      <c r="G199" s="84">
        <v>1</v>
      </c>
      <c r="H199" s="85"/>
    </row>
    <row r="200" spans="1:8" ht="15.75" thickBot="1">
      <c r="A200" s="114">
        <v>67</v>
      </c>
      <c r="B200" s="122" t="s">
        <v>92</v>
      </c>
      <c r="C200" s="123" t="s">
        <v>253</v>
      </c>
      <c r="D200" s="35" t="s">
        <v>94</v>
      </c>
      <c r="E200" s="35">
        <v>1</v>
      </c>
      <c r="F200" s="35" t="s">
        <v>55</v>
      </c>
      <c r="G200" s="35">
        <f>E200</f>
        <v>1</v>
      </c>
      <c r="H200" s="115"/>
    </row>
  </sheetData>
  <mergeCells count="60">
    <mergeCell ref="A130:H130"/>
    <mergeCell ref="A131:H131"/>
    <mergeCell ref="A132:H132"/>
    <mergeCell ref="A127:H127"/>
    <mergeCell ref="A128:H128"/>
    <mergeCell ref="A129:H129"/>
    <mergeCell ref="C12:H12"/>
    <mergeCell ref="A12:B12"/>
    <mergeCell ref="A1:H1"/>
    <mergeCell ref="A2:H2"/>
    <mergeCell ref="A11:B11"/>
    <mergeCell ref="C11:H11"/>
    <mergeCell ref="A10:B10"/>
    <mergeCell ref="C10:D10"/>
    <mergeCell ref="E10:F10"/>
    <mergeCell ref="G10:H10"/>
    <mergeCell ref="A9:B9"/>
    <mergeCell ref="C9:D9"/>
    <mergeCell ref="E9:F9"/>
    <mergeCell ref="G9:H9"/>
    <mergeCell ref="A6:B6"/>
    <mergeCell ref="C6:H6"/>
    <mergeCell ref="A4:H4"/>
    <mergeCell ref="A5:H5"/>
    <mergeCell ref="A3:H3"/>
    <mergeCell ref="A8:B8"/>
    <mergeCell ref="C8:H8"/>
    <mergeCell ref="A7:C7"/>
    <mergeCell ref="D7:H7"/>
    <mergeCell ref="A24:H24"/>
    <mergeCell ref="A25:H25"/>
    <mergeCell ref="A26:H26"/>
    <mergeCell ref="A27:H27"/>
    <mergeCell ref="C14:H14"/>
    <mergeCell ref="A19:H19"/>
    <mergeCell ref="A20:H20"/>
    <mergeCell ref="A21:H21"/>
    <mergeCell ref="A22:H22"/>
    <mergeCell ref="A23:H23"/>
    <mergeCell ref="A18:H18"/>
    <mergeCell ref="A13:B13"/>
    <mergeCell ref="C13:H13"/>
    <mergeCell ref="A15:H15"/>
    <mergeCell ref="A16:H16"/>
    <mergeCell ref="A17:H17"/>
    <mergeCell ref="A14:B14"/>
    <mergeCell ref="A125:H125"/>
    <mergeCell ref="A126:H126"/>
    <mergeCell ref="A105:H105"/>
    <mergeCell ref="A106:H106"/>
    <mergeCell ref="A107:H107"/>
    <mergeCell ref="A108:H108"/>
    <mergeCell ref="A109:H109"/>
    <mergeCell ref="A110:H110"/>
    <mergeCell ref="A111:H111"/>
    <mergeCell ref="A112:H112"/>
    <mergeCell ref="A113:H113"/>
    <mergeCell ref="A114:H114"/>
    <mergeCell ref="A124:H124"/>
    <mergeCell ref="A123:H123"/>
  </mergeCells>
  <dataValidations count="1">
    <dataValidation allowBlank="1" showInputMessage="1" showErrorMessage="1" error="НЕ добавляйте гиперссылки - это запрещено_x000a_При указании Торговой марки ВСЕГДА указывайте &quot;или аналог&quot;" prompt="НЕ добавляйте гиперссылки - это запрещено_x000a_При указании Торговой марки ВСЕГДА указывайте &quot;или аналог&quot;" sqref="C64:C65 C149:C150" xr:uid="{8E6BD1CD-136D-440A-9298-CAD5B4A70C42}"/>
  </dataValidations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1"/>
  <sheetViews>
    <sheetView topLeftCell="A72" zoomScaleNormal="150" workbookViewId="0">
      <selection activeCell="E76" sqref="E76:G76"/>
    </sheetView>
  </sheetViews>
  <sheetFormatPr defaultColWidth="14.42578125" defaultRowHeight="15"/>
  <cols>
    <col min="1" max="1" width="5.140625" style="6" customWidth="1"/>
    <col min="2" max="2" width="52" style="6" customWidth="1"/>
    <col min="3" max="3" width="42" style="6" customWidth="1"/>
    <col min="4" max="4" width="22" style="6" customWidth="1"/>
    <col min="5" max="5" width="15.42578125" style="6" customWidth="1"/>
    <col min="6" max="6" width="19.7109375" style="6" bestFit="1" customWidth="1"/>
    <col min="7" max="7" width="14.42578125" style="6" customWidth="1"/>
    <col min="8" max="8" width="29.28515625" style="6" customWidth="1"/>
    <col min="9" max="9" width="8.7109375" style="1" customWidth="1"/>
    <col min="10" max="16384" width="14.42578125" style="1"/>
  </cols>
  <sheetData>
    <row r="1" spans="1:8" ht="20.25">
      <c r="A1" s="156" t="s">
        <v>29</v>
      </c>
      <c r="B1" s="156"/>
      <c r="C1" s="156"/>
      <c r="D1" s="156"/>
      <c r="E1" s="156"/>
      <c r="F1" s="156"/>
      <c r="G1" s="156"/>
      <c r="H1" s="156"/>
    </row>
    <row r="2" spans="1:8" ht="20.25">
      <c r="A2" s="158" t="str">
        <f>'Информация о Чемпионате'!B4</f>
        <v>Региональный этап чемпионат по профессиональному мастерству "Профессионалы" в 2026 г.</v>
      </c>
      <c r="B2" s="158"/>
      <c r="C2" s="158"/>
      <c r="D2" s="158"/>
      <c r="E2" s="158"/>
      <c r="F2" s="158"/>
      <c r="G2" s="158"/>
      <c r="H2" s="158"/>
    </row>
    <row r="3" spans="1:8" ht="20.25">
      <c r="A3" s="156" t="s">
        <v>30</v>
      </c>
      <c r="B3" s="156"/>
      <c r="C3" s="156"/>
      <c r="D3" s="156"/>
      <c r="E3" s="156"/>
      <c r="F3" s="156"/>
      <c r="G3" s="156"/>
      <c r="H3" s="156"/>
    </row>
    <row r="4" spans="1:8" ht="20.25">
      <c r="A4" s="154" t="str">
        <f>'Информация о Чемпионате'!B3</f>
        <v>Программные решения для бизнеса</v>
      </c>
      <c r="B4" s="154"/>
      <c r="C4" s="154"/>
      <c r="D4" s="154"/>
      <c r="E4" s="154"/>
      <c r="F4" s="154"/>
      <c r="G4" s="154"/>
      <c r="H4" s="154"/>
    </row>
    <row r="5" spans="1:8">
      <c r="A5" s="143" t="s">
        <v>10</v>
      </c>
      <c r="B5" s="155"/>
      <c r="C5" s="155"/>
      <c r="D5" s="155"/>
      <c r="E5" s="155"/>
      <c r="F5" s="155"/>
      <c r="G5" s="155"/>
      <c r="H5" s="155"/>
    </row>
    <row r="6" spans="1:8" ht="15.75">
      <c r="A6" s="143" t="s">
        <v>27</v>
      </c>
      <c r="B6" s="143"/>
      <c r="C6" s="159" t="str">
        <f>'Информация о Чемпионате'!B5</f>
        <v>Санкт-Петербург</v>
      </c>
      <c r="D6" s="159"/>
      <c r="E6" s="159"/>
      <c r="F6" s="159"/>
      <c r="G6" s="159"/>
      <c r="H6" s="159"/>
    </row>
    <row r="7" spans="1:8" ht="46.5" customHeight="1">
      <c r="A7" s="143" t="s">
        <v>28</v>
      </c>
      <c r="B7" s="143"/>
      <c r="C7" s="143"/>
      <c r="D7" s="157" t="str">
        <f>'Информация о Чемпионате'!B6</f>
        <v>Санкт-Петербургский колледж телекоммуникаций им. Э.Т. Кренкеля ФГБОУ ВО "Санкт-Петербургский государственный университет телекоммуникаций им. проф. М.А.Бонч-Бруевича"</v>
      </c>
      <c r="E7" s="157"/>
      <c r="F7" s="157"/>
      <c r="G7" s="157"/>
      <c r="H7" s="157"/>
    </row>
    <row r="8" spans="1:8" ht="15.75">
      <c r="A8" s="143" t="s">
        <v>24</v>
      </c>
      <c r="B8" s="143"/>
      <c r="C8" s="143" t="str">
        <f>'Информация о Чемпионате'!B7</f>
        <v>г. Санкт-Петербург, наб. реки Мойки, д. 61, лит. А.</v>
      </c>
      <c r="D8" s="143"/>
      <c r="E8" s="143"/>
      <c r="F8" s="143"/>
      <c r="G8" s="143"/>
      <c r="H8" s="143"/>
    </row>
    <row r="9" spans="1:8" ht="15.75">
      <c r="A9" s="143" t="s">
        <v>26</v>
      </c>
      <c r="B9" s="143"/>
      <c r="C9" s="143" t="str">
        <f>'Информация о Чемпионате'!B9</f>
        <v>Кривоносова Наталья Викторовна</v>
      </c>
      <c r="D9" s="143"/>
      <c r="E9" s="143" t="str">
        <f>'Информация о Чемпионате'!B10</f>
        <v>nvkrivonosowa@mail.ru</v>
      </c>
      <c r="F9" s="143"/>
      <c r="G9" s="143" t="str">
        <f>'Информация о Чемпионате'!B11</f>
        <v>+7(952)385-42-25</v>
      </c>
      <c r="H9" s="143"/>
    </row>
    <row r="10" spans="1:8" ht="15.75" customHeight="1">
      <c r="A10" s="143" t="s">
        <v>34</v>
      </c>
      <c r="B10" s="143"/>
      <c r="C10" s="143" t="str">
        <f>'Информация о Чемпионате'!B12</f>
        <v xml:space="preserve">Андреев Михаил Дмитриевич </v>
      </c>
      <c r="D10" s="143"/>
      <c r="E10" s="143" t="str">
        <f>'Информация о Чемпионате'!B13</f>
        <v xml:space="preserve">andreev.mikhail.8b@gmail.com </v>
      </c>
      <c r="F10" s="143"/>
      <c r="G10" s="143" t="str">
        <f>'Информация о Чемпионате'!B14</f>
        <v>+79201595535</v>
      </c>
      <c r="H10" s="143"/>
    </row>
    <row r="11" spans="1:8" ht="15.75" customHeight="1">
      <c r="A11" s="143" t="s">
        <v>39</v>
      </c>
      <c r="B11" s="143"/>
      <c r="C11" s="143">
        <f>'Информация о Чемпионате'!B17</f>
        <v>13</v>
      </c>
      <c r="D11" s="143"/>
      <c r="E11" s="143"/>
      <c r="F11" s="143"/>
      <c r="G11" s="143"/>
      <c r="H11" s="143"/>
    </row>
    <row r="12" spans="1:8" ht="15.75">
      <c r="A12" s="143" t="s">
        <v>46</v>
      </c>
      <c r="B12" s="143"/>
      <c r="C12" s="143">
        <f>'Информация о Чемпионате'!B15</f>
        <v>10</v>
      </c>
      <c r="D12" s="143"/>
      <c r="E12" s="143"/>
      <c r="F12" s="143"/>
      <c r="G12" s="143"/>
      <c r="H12" s="143"/>
    </row>
    <row r="13" spans="1:8" ht="15.75">
      <c r="A13" s="143" t="s">
        <v>17</v>
      </c>
      <c r="B13" s="143"/>
      <c r="C13" s="143">
        <f>'Информация о Чемпионате'!B16</f>
        <v>10</v>
      </c>
      <c r="D13" s="143"/>
      <c r="E13" s="143"/>
      <c r="F13" s="143"/>
      <c r="G13" s="143"/>
      <c r="H13" s="143"/>
    </row>
    <row r="14" spans="1:8" ht="16.5" thickBot="1">
      <c r="A14" s="143" t="s">
        <v>25</v>
      </c>
      <c r="B14" s="143"/>
      <c r="C14" s="143" t="str">
        <f>'Информация о Чемпионате'!B8</f>
        <v>02 февраля 2026 года - 06 января 2026 года</v>
      </c>
      <c r="D14" s="143"/>
      <c r="E14" s="143"/>
      <c r="F14" s="143"/>
      <c r="G14" s="143"/>
      <c r="H14" s="143"/>
    </row>
    <row r="15" spans="1:8" ht="20.25">
      <c r="A15" s="160" t="s">
        <v>35</v>
      </c>
      <c r="B15" s="161"/>
      <c r="C15" s="161"/>
      <c r="D15" s="161"/>
      <c r="E15" s="161"/>
      <c r="F15" s="161"/>
      <c r="G15" s="161"/>
      <c r="H15" s="162"/>
    </row>
    <row r="16" spans="1:8" ht="15" customHeight="1">
      <c r="A16" s="163" t="s">
        <v>8</v>
      </c>
      <c r="B16" s="129"/>
      <c r="C16" s="129"/>
      <c r="D16" s="129"/>
      <c r="E16" s="129"/>
      <c r="F16" s="129"/>
      <c r="G16" s="129"/>
      <c r="H16" s="130"/>
    </row>
    <row r="17" spans="1:8" ht="15" customHeight="1">
      <c r="A17" s="128" t="s">
        <v>77</v>
      </c>
      <c r="B17" s="129"/>
      <c r="C17" s="129"/>
      <c r="D17" s="129"/>
      <c r="E17" s="129"/>
      <c r="F17" s="129"/>
      <c r="G17" s="129"/>
      <c r="H17" s="130"/>
    </row>
    <row r="18" spans="1:8" ht="15" customHeight="1">
      <c r="A18" s="128" t="s">
        <v>78</v>
      </c>
      <c r="B18" s="129"/>
      <c r="C18" s="129"/>
      <c r="D18" s="129"/>
      <c r="E18" s="129"/>
      <c r="F18" s="129"/>
      <c r="G18" s="129"/>
      <c r="H18" s="130"/>
    </row>
    <row r="19" spans="1:8" ht="15" customHeight="1">
      <c r="A19" s="128" t="s">
        <v>79</v>
      </c>
      <c r="B19" s="129"/>
      <c r="C19" s="129"/>
      <c r="D19" s="129"/>
      <c r="E19" s="129"/>
      <c r="F19" s="129"/>
      <c r="G19" s="129"/>
      <c r="H19" s="130"/>
    </row>
    <row r="20" spans="1:8" ht="15" customHeight="1">
      <c r="A20" s="128" t="s">
        <v>80</v>
      </c>
      <c r="B20" s="129"/>
      <c r="C20" s="129"/>
      <c r="D20" s="129"/>
      <c r="E20" s="129"/>
      <c r="F20" s="129"/>
      <c r="G20" s="129"/>
      <c r="H20" s="130"/>
    </row>
    <row r="21" spans="1:8" ht="15" customHeight="1">
      <c r="A21" s="128" t="s">
        <v>81</v>
      </c>
      <c r="B21" s="129"/>
      <c r="C21" s="129"/>
      <c r="D21" s="129"/>
      <c r="E21" s="129"/>
      <c r="F21" s="129"/>
      <c r="G21" s="129"/>
      <c r="H21" s="130"/>
    </row>
    <row r="22" spans="1:8" ht="15" customHeight="1">
      <c r="A22" s="128" t="s">
        <v>82</v>
      </c>
      <c r="B22" s="129"/>
      <c r="C22" s="129"/>
      <c r="D22" s="129"/>
      <c r="E22" s="129"/>
      <c r="F22" s="129"/>
      <c r="G22" s="129"/>
      <c r="H22" s="130"/>
    </row>
    <row r="23" spans="1:8" ht="15" customHeight="1">
      <c r="A23" s="128" t="s">
        <v>83</v>
      </c>
      <c r="B23" s="129"/>
      <c r="C23" s="129"/>
      <c r="D23" s="129"/>
      <c r="E23" s="129"/>
      <c r="F23" s="129"/>
      <c r="G23" s="129"/>
      <c r="H23" s="130"/>
    </row>
    <row r="24" spans="1:8" ht="15.75" customHeight="1" thickBot="1">
      <c r="A24" s="128" t="s">
        <v>84</v>
      </c>
      <c r="B24" s="179"/>
      <c r="C24" s="179"/>
      <c r="D24" s="179"/>
      <c r="E24" s="179"/>
      <c r="F24" s="179"/>
      <c r="G24" s="179"/>
      <c r="H24" s="130"/>
    </row>
    <row r="25" spans="1:8" ht="45">
      <c r="A25" s="81" t="s">
        <v>6</v>
      </c>
      <c r="B25" s="82" t="s">
        <v>5</v>
      </c>
      <c r="C25" s="82" t="s">
        <v>4</v>
      </c>
      <c r="D25" s="82" t="s">
        <v>3</v>
      </c>
      <c r="E25" s="82" t="s">
        <v>2</v>
      </c>
      <c r="F25" s="82" t="s">
        <v>1</v>
      </c>
      <c r="G25" s="82" t="s">
        <v>0</v>
      </c>
      <c r="H25" s="83" t="s">
        <v>9</v>
      </c>
    </row>
    <row r="26" spans="1:8" ht="30">
      <c r="A26" s="63">
        <v>1</v>
      </c>
      <c r="B26" s="47" t="s">
        <v>98</v>
      </c>
      <c r="C26" s="48" t="s">
        <v>99</v>
      </c>
      <c r="D26" s="42" t="s">
        <v>49</v>
      </c>
      <c r="E26" s="44">
        <v>1</v>
      </c>
      <c r="F26" s="30" t="s">
        <v>194</v>
      </c>
      <c r="G26" s="37">
        <f t="shared" ref="G26:G70" si="0">E26*$C$13</f>
        <v>10</v>
      </c>
      <c r="H26" s="187"/>
    </row>
    <row r="27" spans="1:8" ht="30">
      <c r="A27" s="63">
        <v>2</v>
      </c>
      <c r="B27" s="47" t="s">
        <v>100</v>
      </c>
      <c r="C27" s="49" t="s">
        <v>100</v>
      </c>
      <c r="D27" s="42" t="s">
        <v>49</v>
      </c>
      <c r="E27" s="44">
        <v>1</v>
      </c>
      <c r="F27" s="30" t="s">
        <v>194</v>
      </c>
      <c r="G27" s="37">
        <f t="shared" si="0"/>
        <v>10</v>
      </c>
      <c r="H27" s="187"/>
    </row>
    <row r="28" spans="1:8" ht="30">
      <c r="A28" s="63">
        <v>3</v>
      </c>
      <c r="B28" s="50" t="s">
        <v>104</v>
      </c>
      <c r="C28" s="48" t="s">
        <v>105</v>
      </c>
      <c r="D28" s="43" t="s">
        <v>49</v>
      </c>
      <c r="E28" s="45">
        <v>1</v>
      </c>
      <c r="F28" s="30" t="s">
        <v>194</v>
      </c>
      <c r="G28" s="37">
        <f t="shared" si="0"/>
        <v>10</v>
      </c>
      <c r="H28" s="187"/>
    </row>
    <row r="29" spans="1:8" ht="191.25">
      <c r="A29" s="63">
        <v>4</v>
      </c>
      <c r="B29" s="34" t="s">
        <v>204</v>
      </c>
      <c r="C29" s="40" t="s">
        <v>192</v>
      </c>
      <c r="D29" s="42" t="s">
        <v>94</v>
      </c>
      <c r="E29" s="45">
        <v>1</v>
      </c>
      <c r="F29" s="30" t="s">
        <v>194</v>
      </c>
      <c r="G29" s="37">
        <f t="shared" si="0"/>
        <v>10</v>
      </c>
      <c r="H29" s="66"/>
    </row>
    <row r="30" spans="1:8" ht="30">
      <c r="A30" s="63">
        <v>5</v>
      </c>
      <c r="B30" s="47" t="s">
        <v>133</v>
      </c>
      <c r="C30" s="41" t="s">
        <v>193</v>
      </c>
      <c r="D30" s="42" t="s">
        <v>94</v>
      </c>
      <c r="E30" s="45">
        <v>2</v>
      </c>
      <c r="F30" s="30" t="s">
        <v>194</v>
      </c>
      <c r="G30" s="37">
        <f t="shared" si="0"/>
        <v>20</v>
      </c>
      <c r="H30" s="66"/>
    </row>
    <row r="31" spans="1:8" ht="30">
      <c r="A31" s="63">
        <v>6</v>
      </c>
      <c r="B31" s="47" t="s">
        <v>135</v>
      </c>
      <c r="C31" s="22" t="s">
        <v>195</v>
      </c>
      <c r="D31" s="42" t="s">
        <v>94</v>
      </c>
      <c r="E31" s="45">
        <v>1</v>
      </c>
      <c r="F31" s="30" t="s">
        <v>194</v>
      </c>
      <c r="G31" s="37">
        <f t="shared" si="0"/>
        <v>10</v>
      </c>
      <c r="H31" s="66"/>
    </row>
    <row r="32" spans="1:8" ht="30">
      <c r="A32" s="63">
        <v>7</v>
      </c>
      <c r="B32" s="47" t="s">
        <v>137</v>
      </c>
      <c r="C32" s="22" t="s">
        <v>196</v>
      </c>
      <c r="D32" s="42" t="s">
        <v>94</v>
      </c>
      <c r="E32" s="45">
        <v>1</v>
      </c>
      <c r="F32" s="30" t="s">
        <v>194</v>
      </c>
      <c r="G32" s="37">
        <f t="shared" si="0"/>
        <v>10</v>
      </c>
      <c r="H32" s="66"/>
    </row>
    <row r="33" spans="1:8" ht="30">
      <c r="A33" s="63">
        <v>8</v>
      </c>
      <c r="B33" s="34" t="s">
        <v>197</v>
      </c>
      <c r="C33" s="51" t="s">
        <v>198</v>
      </c>
      <c r="D33" s="30" t="s">
        <v>94</v>
      </c>
      <c r="E33" s="30">
        <v>1</v>
      </c>
      <c r="F33" s="30" t="s">
        <v>194</v>
      </c>
      <c r="G33" s="37">
        <f t="shared" si="0"/>
        <v>10</v>
      </c>
      <c r="H33" s="66"/>
    </row>
    <row r="34" spans="1:8" ht="30">
      <c r="A34" s="63">
        <v>9</v>
      </c>
      <c r="B34" s="34" t="s">
        <v>197</v>
      </c>
      <c r="C34" s="51" t="s">
        <v>199</v>
      </c>
      <c r="D34" s="30" t="s">
        <v>94</v>
      </c>
      <c r="E34" s="30">
        <v>1</v>
      </c>
      <c r="F34" s="30" t="s">
        <v>194</v>
      </c>
      <c r="G34" s="37">
        <f t="shared" si="0"/>
        <v>10</v>
      </c>
      <c r="H34" s="66"/>
    </row>
    <row r="35" spans="1:8" ht="30">
      <c r="A35" s="63">
        <v>10</v>
      </c>
      <c r="B35" s="34" t="s">
        <v>200</v>
      </c>
      <c r="C35" s="41" t="s">
        <v>201</v>
      </c>
      <c r="D35" s="42" t="s">
        <v>94</v>
      </c>
      <c r="E35" s="45">
        <v>1</v>
      </c>
      <c r="F35" s="30" t="s">
        <v>194</v>
      </c>
      <c r="G35" s="37">
        <f t="shared" si="0"/>
        <v>10</v>
      </c>
      <c r="H35" s="66"/>
    </row>
    <row r="36" spans="1:8" ht="30">
      <c r="A36" s="63">
        <v>11</v>
      </c>
      <c r="B36" s="34" t="s">
        <v>202</v>
      </c>
      <c r="C36" s="41" t="s">
        <v>203</v>
      </c>
      <c r="D36" s="30" t="s">
        <v>94</v>
      </c>
      <c r="E36" s="30">
        <v>3</v>
      </c>
      <c r="F36" s="30" t="s">
        <v>194</v>
      </c>
      <c r="G36" s="37">
        <f t="shared" si="0"/>
        <v>30</v>
      </c>
      <c r="H36" s="66"/>
    </row>
    <row r="37" spans="1:8" ht="30">
      <c r="A37" s="63">
        <v>12</v>
      </c>
      <c r="B37" s="47" t="s">
        <v>145</v>
      </c>
      <c r="C37" s="176" t="s">
        <v>146</v>
      </c>
      <c r="D37" s="42" t="s">
        <v>52</v>
      </c>
      <c r="E37" s="30">
        <v>1</v>
      </c>
      <c r="F37" s="30" t="s">
        <v>194</v>
      </c>
      <c r="G37" s="37">
        <f t="shared" si="0"/>
        <v>10</v>
      </c>
      <c r="H37" s="38"/>
    </row>
    <row r="38" spans="1:8" ht="30">
      <c r="A38" s="63">
        <v>13</v>
      </c>
      <c r="B38" s="47" t="s">
        <v>147</v>
      </c>
      <c r="C38" s="176" t="s">
        <v>148</v>
      </c>
      <c r="D38" s="42" t="s">
        <v>52</v>
      </c>
      <c r="E38" s="30">
        <v>1</v>
      </c>
      <c r="F38" s="30" t="s">
        <v>194</v>
      </c>
      <c r="G38" s="37">
        <f t="shared" si="0"/>
        <v>10</v>
      </c>
      <c r="H38" s="38"/>
    </row>
    <row r="39" spans="1:8" ht="30">
      <c r="A39" s="63">
        <v>14</v>
      </c>
      <c r="B39" s="47" t="s">
        <v>149</v>
      </c>
      <c r="C39" s="176" t="s">
        <v>150</v>
      </c>
      <c r="D39" s="42" t="s">
        <v>52</v>
      </c>
      <c r="E39" s="30">
        <v>1</v>
      </c>
      <c r="F39" s="30" t="s">
        <v>194</v>
      </c>
      <c r="G39" s="37">
        <f t="shared" si="0"/>
        <v>10</v>
      </c>
      <c r="H39" s="38"/>
    </row>
    <row r="40" spans="1:8" ht="30">
      <c r="A40" s="63">
        <v>15</v>
      </c>
      <c r="B40" s="47" t="s">
        <v>151</v>
      </c>
      <c r="C40" s="176" t="s">
        <v>152</v>
      </c>
      <c r="D40" s="42" t="s">
        <v>52</v>
      </c>
      <c r="E40" s="30">
        <v>1</v>
      </c>
      <c r="F40" s="30" t="s">
        <v>194</v>
      </c>
      <c r="G40" s="37">
        <f t="shared" si="0"/>
        <v>10</v>
      </c>
      <c r="H40" s="38"/>
    </row>
    <row r="41" spans="1:8" ht="30">
      <c r="A41" s="63">
        <v>16</v>
      </c>
      <c r="B41" s="47" t="s">
        <v>153</v>
      </c>
      <c r="C41" s="176" t="s">
        <v>154</v>
      </c>
      <c r="D41" s="42" t="s">
        <v>52</v>
      </c>
      <c r="E41" s="30">
        <v>1</v>
      </c>
      <c r="F41" s="30" t="s">
        <v>194</v>
      </c>
      <c r="G41" s="37">
        <f t="shared" si="0"/>
        <v>10</v>
      </c>
      <c r="H41" s="38"/>
    </row>
    <row r="42" spans="1:8" ht="30">
      <c r="A42" s="63">
        <v>17</v>
      </c>
      <c r="B42" s="47" t="s">
        <v>153</v>
      </c>
      <c r="C42" s="176" t="s">
        <v>155</v>
      </c>
      <c r="D42" s="42" t="s">
        <v>52</v>
      </c>
      <c r="E42" s="30">
        <v>1</v>
      </c>
      <c r="F42" s="30" t="s">
        <v>194</v>
      </c>
      <c r="G42" s="37">
        <f t="shared" si="0"/>
        <v>10</v>
      </c>
      <c r="H42" s="38"/>
    </row>
    <row r="43" spans="1:8" ht="30">
      <c r="A43" s="63">
        <v>18</v>
      </c>
      <c r="B43" s="47" t="s">
        <v>156</v>
      </c>
      <c r="C43" s="176" t="s">
        <v>157</v>
      </c>
      <c r="D43" s="42" t="s">
        <v>52</v>
      </c>
      <c r="E43" s="30">
        <v>1</v>
      </c>
      <c r="F43" s="30" t="s">
        <v>194</v>
      </c>
      <c r="G43" s="37">
        <f t="shared" si="0"/>
        <v>10</v>
      </c>
      <c r="H43" s="38"/>
    </row>
    <row r="44" spans="1:8" ht="30">
      <c r="A44" s="63">
        <v>19</v>
      </c>
      <c r="B44" s="47" t="s">
        <v>156</v>
      </c>
      <c r="C44" s="176" t="s">
        <v>158</v>
      </c>
      <c r="D44" s="42" t="s">
        <v>52</v>
      </c>
      <c r="E44" s="30">
        <v>1</v>
      </c>
      <c r="F44" s="30" t="s">
        <v>194</v>
      </c>
      <c r="G44" s="37">
        <f t="shared" si="0"/>
        <v>10</v>
      </c>
      <c r="H44" s="38"/>
    </row>
    <row r="45" spans="1:8" ht="30">
      <c r="A45" s="63">
        <v>20</v>
      </c>
      <c r="B45" s="47" t="s">
        <v>159</v>
      </c>
      <c r="C45" s="176" t="s">
        <v>160</v>
      </c>
      <c r="D45" s="42" t="s">
        <v>52</v>
      </c>
      <c r="E45" s="30">
        <v>1</v>
      </c>
      <c r="F45" s="30" t="s">
        <v>194</v>
      </c>
      <c r="G45" s="37">
        <f t="shared" si="0"/>
        <v>10</v>
      </c>
      <c r="H45" s="38"/>
    </row>
    <row r="46" spans="1:8" ht="76.5">
      <c r="A46" s="63">
        <v>21</v>
      </c>
      <c r="B46" s="47" t="s">
        <v>161</v>
      </c>
      <c r="C46" s="176" t="s">
        <v>162</v>
      </c>
      <c r="D46" s="42" t="s">
        <v>52</v>
      </c>
      <c r="E46" s="30">
        <v>1</v>
      </c>
      <c r="F46" s="30" t="s">
        <v>194</v>
      </c>
      <c r="G46" s="37">
        <f t="shared" si="0"/>
        <v>10</v>
      </c>
      <c r="H46" s="38"/>
    </row>
    <row r="47" spans="1:8" ht="140.25">
      <c r="A47" s="63">
        <v>22</v>
      </c>
      <c r="B47" s="47" t="s">
        <v>163</v>
      </c>
      <c r="C47" s="176" t="s">
        <v>205</v>
      </c>
      <c r="D47" s="42" t="s">
        <v>52</v>
      </c>
      <c r="E47" s="30">
        <v>1</v>
      </c>
      <c r="F47" s="30" t="s">
        <v>194</v>
      </c>
      <c r="G47" s="37">
        <f t="shared" si="0"/>
        <v>10</v>
      </c>
      <c r="H47" s="38"/>
    </row>
    <row r="48" spans="1:8" ht="30">
      <c r="A48" s="63">
        <v>23</v>
      </c>
      <c r="B48" s="47" t="s">
        <v>164</v>
      </c>
      <c r="C48" s="176" t="s">
        <v>165</v>
      </c>
      <c r="D48" s="42" t="s">
        <v>52</v>
      </c>
      <c r="E48" s="30">
        <v>1</v>
      </c>
      <c r="F48" s="30" t="s">
        <v>194</v>
      </c>
      <c r="G48" s="37">
        <f t="shared" si="0"/>
        <v>10</v>
      </c>
      <c r="H48" s="38"/>
    </row>
    <row r="49" spans="1:8" ht="30">
      <c r="A49" s="63">
        <v>24</v>
      </c>
      <c r="B49" s="47" t="s">
        <v>164</v>
      </c>
      <c r="C49" s="176" t="s">
        <v>166</v>
      </c>
      <c r="D49" s="42" t="s">
        <v>52</v>
      </c>
      <c r="E49" s="30">
        <v>1</v>
      </c>
      <c r="F49" s="30" t="s">
        <v>194</v>
      </c>
      <c r="G49" s="37">
        <f t="shared" si="0"/>
        <v>10</v>
      </c>
      <c r="H49" s="38"/>
    </row>
    <row r="50" spans="1:8" ht="30">
      <c r="A50" s="63">
        <v>25</v>
      </c>
      <c r="B50" s="47" t="s">
        <v>164</v>
      </c>
      <c r="C50" s="176" t="s">
        <v>167</v>
      </c>
      <c r="D50" s="42" t="s">
        <v>52</v>
      </c>
      <c r="E50" s="30">
        <v>1</v>
      </c>
      <c r="F50" s="30" t="s">
        <v>194</v>
      </c>
      <c r="G50" s="37">
        <f t="shared" si="0"/>
        <v>10</v>
      </c>
      <c r="H50" s="38"/>
    </row>
    <row r="51" spans="1:8" ht="30">
      <c r="A51" s="63">
        <v>26</v>
      </c>
      <c r="B51" s="47" t="s">
        <v>163</v>
      </c>
      <c r="C51" s="176" t="s">
        <v>168</v>
      </c>
      <c r="D51" s="42" t="s">
        <v>52</v>
      </c>
      <c r="E51" s="30">
        <v>1</v>
      </c>
      <c r="F51" s="30" t="s">
        <v>194</v>
      </c>
      <c r="G51" s="37">
        <f t="shared" si="0"/>
        <v>10</v>
      </c>
      <c r="H51" s="38"/>
    </row>
    <row r="52" spans="1:8" ht="30">
      <c r="A52" s="63">
        <v>27</v>
      </c>
      <c r="B52" s="47" t="s">
        <v>169</v>
      </c>
      <c r="C52" s="176" t="s">
        <v>170</v>
      </c>
      <c r="D52" s="42" t="s">
        <v>52</v>
      </c>
      <c r="E52" s="30">
        <v>1</v>
      </c>
      <c r="F52" s="30" t="s">
        <v>194</v>
      </c>
      <c r="G52" s="37">
        <f t="shared" si="0"/>
        <v>10</v>
      </c>
      <c r="H52" s="38"/>
    </row>
    <row r="53" spans="1:8" ht="30">
      <c r="A53" s="63">
        <v>28</v>
      </c>
      <c r="B53" s="47" t="s">
        <v>164</v>
      </c>
      <c r="C53" s="176" t="s">
        <v>171</v>
      </c>
      <c r="D53" s="42" t="s">
        <v>52</v>
      </c>
      <c r="E53" s="30">
        <v>1</v>
      </c>
      <c r="F53" s="30" t="s">
        <v>194</v>
      </c>
      <c r="G53" s="37">
        <f t="shared" si="0"/>
        <v>10</v>
      </c>
      <c r="H53" s="38"/>
    </row>
    <row r="54" spans="1:8" ht="30">
      <c r="A54" s="63">
        <v>29</v>
      </c>
      <c r="B54" s="47" t="s">
        <v>163</v>
      </c>
      <c r="C54" s="176" t="s">
        <v>172</v>
      </c>
      <c r="D54" s="42" t="s">
        <v>52</v>
      </c>
      <c r="E54" s="30">
        <v>1</v>
      </c>
      <c r="F54" s="30" t="s">
        <v>194</v>
      </c>
      <c r="G54" s="37">
        <f t="shared" si="0"/>
        <v>10</v>
      </c>
      <c r="H54" s="38"/>
    </row>
    <row r="55" spans="1:8" ht="30">
      <c r="A55" s="63">
        <v>30</v>
      </c>
      <c r="B55" s="47" t="s">
        <v>163</v>
      </c>
      <c r="C55" s="176" t="s">
        <v>173</v>
      </c>
      <c r="D55" s="42" t="s">
        <v>52</v>
      </c>
      <c r="E55" s="30">
        <v>1</v>
      </c>
      <c r="F55" s="30" t="s">
        <v>194</v>
      </c>
      <c r="G55" s="37">
        <f t="shared" si="0"/>
        <v>10</v>
      </c>
      <c r="H55" s="38"/>
    </row>
    <row r="56" spans="1:8" ht="63.75">
      <c r="A56" s="63">
        <v>31</v>
      </c>
      <c r="B56" s="47" t="s">
        <v>174</v>
      </c>
      <c r="C56" s="176" t="s">
        <v>175</v>
      </c>
      <c r="D56" s="42" t="s">
        <v>52</v>
      </c>
      <c r="E56" s="30">
        <v>1</v>
      </c>
      <c r="F56" s="30" t="s">
        <v>194</v>
      </c>
      <c r="G56" s="37">
        <f t="shared" si="0"/>
        <v>10</v>
      </c>
      <c r="H56" s="38"/>
    </row>
    <row r="57" spans="1:8" ht="89.25">
      <c r="A57" s="63">
        <v>32</v>
      </c>
      <c r="B57" s="47" t="s">
        <v>176</v>
      </c>
      <c r="C57" s="176" t="s">
        <v>177</v>
      </c>
      <c r="D57" s="42" t="s">
        <v>52</v>
      </c>
      <c r="E57" s="30">
        <v>1</v>
      </c>
      <c r="F57" s="30" t="s">
        <v>194</v>
      </c>
      <c r="G57" s="37">
        <f t="shared" si="0"/>
        <v>10</v>
      </c>
      <c r="H57" s="38"/>
    </row>
    <row r="58" spans="1:8" ht="30">
      <c r="A58" s="63">
        <v>33</v>
      </c>
      <c r="B58" s="47" t="s">
        <v>163</v>
      </c>
      <c r="C58" s="176" t="s">
        <v>178</v>
      </c>
      <c r="D58" s="42" t="s">
        <v>52</v>
      </c>
      <c r="E58" s="30">
        <v>1</v>
      </c>
      <c r="F58" s="30" t="s">
        <v>194</v>
      </c>
      <c r="G58" s="37">
        <f t="shared" si="0"/>
        <v>10</v>
      </c>
      <c r="H58" s="38"/>
    </row>
    <row r="59" spans="1:8">
      <c r="A59" s="63">
        <v>34</v>
      </c>
      <c r="B59" s="124" t="s">
        <v>54</v>
      </c>
      <c r="C59" s="176" t="s">
        <v>261</v>
      </c>
      <c r="D59" s="42"/>
      <c r="E59" s="30"/>
      <c r="F59" s="30"/>
      <c r="G59" s="37"/>
      <c r="H59" s="38"/>
    </row>
    <row r="60" spans="1:8" ht="30">
      <c r="A60" s="63">
        <v>35</v>
      </c>
      <c r="B60" s="47" t="s">
        <v>54</v>
      </c>
      <c r="C60" s="176" t="s">
        <v>179</v>
      </c>
      <c r="D60" s="42" t="s">
        <v>52</v>
      </c>
      <c r="E60" s="30">
        <v>1</v>
      </c>
      <c r="F60" s="30" t="s">
        <v>194</v>
      </c>
      <c r="G60" s="37">
        <f t="shared" si="0"/>
        <v>10</v>
      </c>
      <c r="H60" s="38"/>
    </row>
    <row r="61" spans="1:8" ht="409.5" customHeight="1">
      <c r="A61" s="63">
        <v>36</v>
      </c>
      <c r="B61" s="47" t="s">
        <v>54</v>
      </c>
      <c r="C61" s="176" t="s">
        <v>262</v>
      </c>
      <c r="D61" s="42" t="s">
        <v>52</v>
      </c>
      <c r="E61" s="30">
        <v>1</v>
      </c>
      <c r="F61" s="30" t="s">
        <v>194</v>
      </c>
      <c r="G61" s="37">
        <f t="shared" si="0"/>
        <v>10</v>
      </c>
      <c r="H61" s="38"/>
    </row>
    <row r="62" spans="1:8" ht="30">
      <c r="A62" s="63">
        <v>37</v>
      </c>
      <c r="B62" s="47" t="s">
        <v>180</v>
      </c>
      <c r="C62" s="176" t="s">
        <v>181</v>
      </c>
      <c r="D62" s="42" t="s">
        <v>52</v>
      </c>
      <c r="E62" s="30">
        <v>1</v>
      </c>
      <c r="F62" s="30" t="s">
        <v>194</v>
      </c>
      <c r="G62" s="37">
        <f t="shared" si="0"/>
        <v>10</v>
      </c>
      <c r="H62" s="38"/>
    </row>
    <row r="63" spans="1:8" ht="30">
      <c r="A63" s="63">
        <v>38</v>
      </c>
      <c r="B63" s="47" t="s">
        <v>182</v>
      </c>
      <c r="C63" s="176" t="s">
        <v>183</v>
      </c>
      <c r="D63" s="42" t="s">
        <v>52</v>
      </c>
      <c r="E63" s="30">
        <v>1</v>
      </c>
      <c r="F63" s="30" t="s">
        <v>194</v>
      </c>
      <c r="G63" s="37">
        <f t="shared" si="0"/>
        <v>10</v>
      </c>
      <c r="H63" s="38"/>
    </row>
    <row r="64" spans="1:8" ht="30">
      <c r="A64" s="63">
        <v>39</v>
      </c>
      <c r="B64" s="47" t="s">
        <v>182</v>
      </c>
      <c r="C64" s="176" t="s">
        <v>184</v>
      </c>
      <c r="D64" s="42" t="s">
        <v>52</v>
      </c>
      <c r="E64" s="30">
        <v>1</v>
      </c>
      <c r="F64" s="30" t="s">
        <v>194</v>
      </c>
      <c r="G64" s="37">
        <f t="shared" si="0"/>
        <v>10</v>
      </c>
      <c r="H64" s="38"/>
    </row>
    <row r="65" spans="1:9" ht="30">
      <c r="A65" s="63">
        <v>40</v>
      </c>
      <c r="B65" s="47" t="s">
        <v>182</v>
      </c>
      <c r="C65" s="176" t="s">
        <v>185</v>
      </c>
      <c r="D65" s="42" t="s">
        <v>52</v>
      </c>
      <c r="E65" s="30">
        <v>1</v>
      </c>
      <c r="F65" s="30" t="s">
        <v>194</v>
      </c>
      <c r="G65" s="37">
        <f t="shared" si="0"/>
        <v>10</v>
      </c>
      <c r="H65" s="38"/>
    </row>
    <row r="66" spans="1:9" ht="30">
      <c r="A66" s="63">
        <v>41</v>
      </c>
      <c r="B66" s="47" t="s">
        <v>182</v>
      </c>
      <c r="C66" s="176" t="s">
        <v>186</v>
      </c>
      <c r="D66" s="42" t="s">
        <v>52</v>
      </c>
      <c r="E66" s="30">
        <v>1</v>
      </c>
      <c r="F66" s="30" t="s">
        <v>194</v>
      </c>
      <c r="G66" s="37">
        <f t="shared" si="0"/>
        <v>10</v>
      </c>
      <c r="H66" s="38"/>
    </row>
    <row r="67" spans="1:9" ht="30">
      <c r="A67" s="63">
        <v>42</v>
      </c>
      <c r="B67" s="117" t="s">
        <v>182</v>
      </c>
      <c r="C67" s="176" t="s">
        <v>255</v>
      </c>
      <c r="D67" s="5" t="s">
        <v>52</v>
      </c>
      <c r="E67" s="30">
        <v>1</v>
      </c>
      <c r="F67" s="30" t="s">
        <v>194</v>
      </c>
      <c r="G67" s="37">
        <f t="shared" ref="G67" si="1">E67*$C$13</f>
        <v>10</v>
      </c>
      <c r="H67" s="38"/>
    </row>
    <row r="68" spans="1:9" ht="102">
      <c r="A68" s="63">
        <v>43</v>
      </c>
      <c r="B68" s="29" t="s">
        <v>163</v>
      </c>
      <c r="C68" s="178" t="s">
        <v>187</v>
      </c>
      <c r="D68" s="30" t="s">
        <v>52</v>
      </c>
      <c r="E68" s="30">
        <v>1</v>
      </c>
      <c r="F68" s="30" t="s">
        <v>194</v>
      </c>
      <c r="G68" s="37">
        <f t="shared" si="0"/>
        <v>10</v>
      </c>
      <c r="H68" s="62"/>
    </row>
    <row r="69" spans="1:9" ht="89.25">
      <c r="A69" s="63">
        <v>44</v>
      </c>
      <c r="B69" s="29" t="s">
        <v>163</v>
      </c>
      <c r="C69" s="178" t="s">
        <v>188</v>
      </c>
      <c r="D69" s="30" t="s">
        <v>52</v>
      </c>
      <c r="E69" s="30">
        <v>1</v>
      </c>
      <c r="F69" s="30" t="s">
        <v>194</v>
      </c>
      <c r="G69" s="37">
        <f t="shared" si="0"/>
        <v>10</v>
      </c>
      <c r="H69" s="62"/>
    </row>
    <row r="70" spans="1:9" ht="30">
      <c r="A70" s="63">
        <v>45</v>
      </c>
      <c r="B70" s="29" t="s">
        <v>164</v>
      </c>
      <c r="C70" s="178" t="s">
        <v>189</v>
      </c>
      <c r="D70" s="30" t="s">
        <v>52</v>
      </c>
      <c r="E70" s="30">
        <v>1</v>
      </c>
      <c r="F70" s="30" t="s">
        <v>194</v>
      </c>
      <c r="G70" s="37">
        <f t="shared" si="0"/>
        <v>10</v>
      </c>
      <c r="H70" s="62"/>
    </row>
    <row r="71" spans="1:9" ht="30">
      <c r="A71" s="63">
        <v>46</v>
      </c>
      <c r="B71" s="29" t="s">
        <v>265</v>
      </c>
      <c r="C71" s="178" t="s">
        <v>266</v>
      </c>
      <c r="D71" s="30" t="s">
        <v>52</v>
      </c>
      <c r="E71" s="30">
        <v>1</v>
      </c>
      <c r="F71" s="30" t="s">
        <v>194</v>
      </c>
      <c r="G71" s="37">
        <f t="shared" ref="G71" si="2">E71*$C$13</f>
        <v>10</v>
      </c>
      <c r="H71" s="62"/>
    </row>
    <row r="72" spans="1:9" ht="30">
      <c r="A72" s="63">
        <v>47</v>
      </c>
      <c r="B72" s="101" t="s">
        <v>164</v>
      </c>
      <c r="C72" s="178" t="s">
        <v>271</v>
      </c>
      <c r="D72" s="57" t="s">
        <v>52</v>
      </c>
      <c r="E72" s="57">
        <v>1</v>
      </c>
      <c r="F72" s="30" t="s">
        <v>194</v>
      </c>
      <c r="G72" s="37">
        <f t="shared" ref="G72:G80" si="3">E72*$C$13</f>
        <v>10</v>
      </c>
      <c r="H72" s="62"/>
    </row>
    <row r="73" spans="1:9" ht="30">
      <c r="A73" s="63">
        <v>48</v>
      </c>
      <c r="B73" s="101" t="s">
        <v>164</v>
      </c>
      <c r="C73" s="178" t="s">
        <v>272</v>
      </c>
      <c r="D73" s="57" t="s">
        <v>52</v>
      </c>
      <c r="E73" s="57">
        <v>1</v>
      </c>
      <c r="F73" s="30" t="s">
        <v>194</v>
      </c>
      <c r="G73" s="37">
        <f t="shared" si="3"/>
        <v>10</v>
      </c>
      <c r="H73" s="62"/>
    </row>
    <row r="74" spans="1:9" ht="30">
      <c r="A74" s="63">
        <v>49</v>
      </c>
      <c r="B74" s="101" t="s">
        <v>164</v>
      </c>
      <c r="C74" s="178" t="s">
        <v>270</v>
      </c>
      <c r="D74" s="57" t="s">
        <v>52</v>
      </c>
      <c r="E74" s="57">
        <v>1</v>
      </c>
      <c r="F74" s="30" t="s">
        <v>194</v>
      </c>
      <c r="G74" s="37">
        <f t="shared" si="3"/>
        <v>10</v>
      </c>
      <c r="H74" s="62"/>
    </row>
    <row r="75" spans="1:9" ht="30">
      <c r="A75" s="63">
        <v>50</v>
      </c>
      <c r="B75" s="124" t="s">
        <v>174</v>
      </c>
      <c r="C75" s="178" t="s">
        <v>269</v>
      </c>
      <c r="D75" s="57" t="s">
        <v>52</v>
      </c>
      <c r="E75" s="57">
        <v>1</v>
      </c>
      <c r="F75" s="30" t="s">
        <v>194</v>
      </c>
      <c r="G75" s="37">
        <f t="shared" si="3"/>
        <v>10</v>
      </c>
      <c r="H75" s="62"/>
    </row>
    <row r="76" spans="1:9" ht="30">
      <c r="A76" s="108">
        <v>51</v>
      </c>
      <c r="B76" s="47" t="s">
        <v>164</v>
      </c>
      <c r="C76" s="178" t="s">
        <v>275</v>
      </c>
      <c r="D76" s="57" t="s">
        <v>52</v>
      </c>
      <c r="E76" s="57">
        <v>1</v>
      </c>
      <c r="F76" s="30" t="s">
        <v>194</v>
      </c>
      <c r="G76" s="37">
        <f t="shared" ref="G76" si="4">E76*$C$13</f>
        <v>10</v>
      </c>
      <c r="H76" s="95"/>
      <c r="I76" s="26"/>
    </row>
    <row r="77" spans="1:9" ht="102">
      <c r="A77" s="63">
        <v>52</v>
      </c>
      <c r="B77" s="124" t="s">
        <v>176</v>
      </c>
      <c r="C77" s="178" t="s">
        <v>273</v>
      </c>
      <c r="D77" s="57" t="s">
        <v>52</v>
      </c>
      <c r="E77" s="57">
        <v>1</v>
      </c>
      <c r="F77" s="30" t="s">
        <v>194</v>
      </c>
      <c r="G77" s="37">
        <f t="shared" ref="G77:G79" si="5">E77*$C$13</f>
        <v>10</v>
      </c>
      <c r="H77" s="62"/>
    </row>
    <row r="78" spans="1:9" ht="30">
      <c r="A78" s="63">
        <v>53</v>
      </c>
      <c r="B78" s="29" t="s">
        <v>163</v>
      </c>
      <c r="C78" s="178" t="s">
        <v>268</v>
      </c>
      <c r="D78" s="57" t="s">
        <v>52</v>
      </c>
      <c r="E78" s="57">
        <v>1</v>
      </c>
      <c r="F78" s="30" t="s">
        <v>194</v>
      </c>
      <c r="G78" s="37">
        <f t="shared" si="5"/>
        <v>10</v>
      </c>
      <c r="H78" s="62"/>
    </row>
    <row r="79" spans="1:9" ht="30">
      <c r="A79" s="63">
        <v>54</v>
      </c>
      <c r="B79" s="101" t="s">
        <v>263</v>
      </c>
      <c r="C79" s="178" t="s">
        <v>264</v>
      </c>
      <c r="D79" s="57" t="s">
        <v>52</v>
      </c>
      <c r="E79" s="57">
        <v>1</v>
      </c>
      <c r="F79" s="30" t="s">
        <v>194</v>
      </c>
      <c r="G79" s="37">
        <f t="shared" si="5"/>
        <v>10</v>
      </c>
      <c r="H79" s="62"/>
    </row>
    <row r="80" spans="1:9" ht="30">
      <c r="A80" s="63">
        <v>55</v>
      </c>
      <c r="B80" s="101" t="s">
        <v>263</v>
      </c>
      <c r="C80" s="178" t="s">
        <v>267</v>
      </c>
      <c r="D80" s="57" t="s">
        <v>52</v>
      </c>
      <c r="E80" s="57">
        <v>1</v>
      </c>
      <c r="F80" s="30" t="s">
        <v>194</v>
      </c>
      <c r="G80" s="37">
        <f t="shared" si="3"/>
        <v>10</v>
      </c>
      <c r="H80" s="62"/>
    </row>
    <row r="81" spans="1:8" ht="30.75" thickBot="1">
      <c r="A81" s="96">
        <v>56</v>
      </c>
      <c r="B81" s="97" t="s">
        <v>190</v>
      </c>
      <c r="C81" s="185" t="s">
        <v>191</v>
      </c>
      <c r="D81" s="186" t="s">
        <v>52</v>
      </c>
      <c r="E81" s="46">
        <v>1</v>
      </c>
      <c r="F81" s="35" t="s">
        <v>194</v>
      </c>
      <c r="G81" s="39">
        <f t="shared" ref="G81" si="6">E81*$C$13</f>
        <v>10</v>
      </c>
      <c r="H81" s="36"/>
    </row>
  </sheetData>
  <mergeCells count="37">
    <mergeCell ref="C14:H14"/>
    <mergeCell ref="A10:B10"/>
    <mergeCell ref="C10:D10"/>
    <mergeCell ref="E10:F10"/>
    <mergeCell ref="G10:H10"/>
    <mergeCell ref="A11:B11"/>
    <mergeCell ref="C11:H11"/>
    <mergeCell ref="A13:B13"/>
    <mergeCell ref="C13:H13"/>
    <mergeCell ref="A6:B6"/>
    <mergeCell ref="C6:H6"/>
    <mergeCell ref="A7:C7"/>
    <mergeCell ref="A19:H19"/>
    <mergeCell ref="A20:H20"/>
    <mergeCell ref="A16:H16"/>
    <mergeCell ref="D7:H7"/>
    <mergeCell ref="A8:B8"/>
    <mergeCell ref="C8:H8"/>
    <mergeCell ref="A9:B9"/>
    <mergeCell ref="C9:D9"/>
    <mergeCell ref="E9:F9"/>
    <mergeCell ref="G9:H9"/>
    <mergeCell ref="A12:B12"/>
    <mergeCell ref="C12:H12"/>
    <mergeCell ref="A14:B14"/>
    <mergeCell ref="A4:H4"/>
    <mergeCell ref="A5:H5"/>
    <mergeCell ref="A1:H1"/>
    <mergeCell ref="A2:H2"/>
    <mergeCell ref="A3:H3"/>
    <mergeCell ref="A18:H18"/>
    <mergeCell ref="A23:H23"/>
    <mergeCell ref="A24:H24"/>
    <mergeCell ref="A15:H15"/>
    <mergeCell ref="A22:H22"/>
    <mergeCell ref="A17:H17"/>
    <mergeCell ref="A21:H21"/>
  </mergeCells>
  <dataValidations count="1">
    <dataValidation allowBlank="1" showInputMessage="1" showErrorMessage="1" error="НЕ добавляйте гиперссылки - это запрещено_x000a_При указании Торговой марки ВСЕГДА указывайте &quot;или аналог&quot;" prompt="НЕ добавляйте гиперссылки - это запрещено_x000a_При указании Торговой марки ВСЕГДА указывайте &quot;или аналог&quot;" sqref="C41:C42" xr:uid="{F86BCD08-B5EB-44D0-A62A-C4DF03378EEF}"/>
  </dataValidations>
  <pageMargins left="0.7" right="0.7" top="0.75" bottom="0.75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7"/>
  <sheetViews>
    <sheetView topLeftCell="A18" zoomScaleNormal="160" workbookViewId="0">
      <selection activeCell="C21" sqref="C21"/>
    </sheetView>
  </sheetViews>
  <sheetFormatPr defaultColWidth="14.42578125" defaultRowHeight="15"/>
  <cols>
    <col min="1" max="1" width="5.140625" style="6" customWidth="1"/>
    <col min="2" max="2" width="52" style="6" customWidth="1"/>
    <col min="3" max="3" width="27.42578125" style="6" customWidth="1"/>
    <col min="4" max="4" width="22" style="6" customWidth="1"/>
    <col min="5" max="5" width="15.42578125" style="6" customWidth="1"/>
    <col min="6" max="6" width="23.42578125" style="6" bestFit="1" customWidth="1"/>
    <col min="7" max="7" width="14.42578125" style="6" customWidth="1"/>
    <col min="8" max="8" width="25" style="6" bestFit="1" customWidth="1"/>
    <col min="9" max="10" width="8.7109375" style="1" customWidth="1"/>
    <col min="11" max="16384" width="14.42578125" style="1"/>
  </cols>
  <sheetData>
    <row r="1" spans="1:8" ht="20.25">
      <c r="A1" s="156" t="s">
        <v>29</v>
      </c>
      <c r="B1" s="156"/>
      <c r="C1" s="156"/>
      <c r="D1" s="156"/>
      <c r="E1" s="156"/>
      <c r="F1" s="156"/>
      <c r="G1" s="156"/>
      <c r="H1" s="156"/>
    </row>
    <row r="2" spans="1:8" ht="20.25">
      <c r="A2" s="158" t="str">
        <f>'Информация о Чемпионате'!B4</f>
        <v>Региональный этап чемпионат по профессиональному мастерству "Профессионалы" в 2026 г.</v>
      </c>
      <c r="B2" s="158"/>
      <c r="C2" s="158"/>
      <c r="D2" s="158"/>
      <c r="E2" s="158"/>
      <c r="F2" s="158"/>
      <c r="G2" s="158"/>
      <c r="H2" s="158"/>
    </row>
    <row r="3" spans="1:8" ht="20.25">
      <c r="A3" s="156" t="s">
        <v>30</v>
      </c>
      <c r="B3" s="156"/>
      <c r="C3" s="156"/>
      <c r="D3" s="156"/>
      <c r="E3" s="156"/>
      <c r="F3" s="156"/>
      <c r="G3" s="156"/>
      <c r="H3" s="156"/>
    </row>
    <row r="4" spans="1:8" ht="20.25">
      <c r="A4" s="154" t="str">
        <f>'Информация о Чемпионате'!B3</f>
        <v>Программные решения для бизнеса</v>
      </c>
      <c r="B4" s="154"/>
      <c r="C4" s="154"/>
      <c r="D4" s="154"/>
      <c r="E4" s="154"/>
      <c r="F4" s="154"/>
      <c r="G4" s="154"/>
      <c r="H4" s="154"/>
    </row>
    <row r="5" spans="1:8">
      <c r="A5" s="143" t="s">
        <v>10</v>
      </c>
      <c r="B5" s="155"/>
      <c r="C5" s="155"/>
      <c r="D5" s="155"/>
      <c r="E5" s="155"/>
      <c r="F5" s="155"/>
      <c r="G5" s="155"/>
      <c r="H5" s="155"/>
    </row>
    <row r="6" spans="1:8" ht="15.75">
      <c r="A6" s="143" t="s">
        <v>27</v>
      </c>
      <c r="B6" s="143"/>
      <c r="C6" s="159" t="str">
        <f>'Информация о Чемпионате'!B5</f>
        <v>Санкт-Петербург</v>
      </c>
      <c r="D6" s="159"/>
      <c r="E6" s="159"/>
      <c r="F6" s="159"/>
      <c r="G6" s="159"/>
      <c r="H6" s="159"/>
    </row>
    <row r="7" spans="1:8" ht="45.75" customHeight="1">
      <c r="A7" s="143" t="s">
        <v>28</v>
      </c>
      <c r="B7" s="143"/>
      <c r="C7" s="143"/>
      <c r="D7" s="157" t="str">
        <f>'Информация о Чемпионате'!B6</f>
        <v>Санкт-Петербургский колледж телекоммуникаций им. Э.Т. Кренкеля ФГБОУ ВО "Санкт-Петербургский государственный университет телекоммуникаций им. проф. М.А.Бонч-Бруевича"</v>
      </c>
      <c r="E7" s="157"/>
      <c r="F7" s="157"/>
      <c r="G7" s="157"/>
      <c r="H7" s="157"/>
    </row>
    <row r="8" spans="1:8" ht="15.75">
      <c r="A8" s="143" t="s">
        <v>24</v>
      </c>
      <c r="B8" s="143"/>
      <c r="C8" s="143" t="str">
        <f>'Информация о Чемпионате'!B7</f>
        <v>г. Санкт-Петербург, наб. реки Мойки, д. 61, лит. А.</v>
      </c>
      <c r="D8" s="143"/>
      <c r="E8" s="143"/>
      <c r="F8" s="143"/>
      <c r="G8" s="143"/>
      <c r="H8" s="143"/>
    </row>
    <row r="9" spans="1:8" ht="15.75">
      <c r="A9" s="143" t="s">
        <v>26</v>
      </c>
      <c r="B9" s="143"/>
      <c r="C9" s="143" t="str">
        <f>'Информация о Чемпионате'!B9</f>
        <v>Кривоносова Наталья Викторовна</v>
      </c>
      <c r="D9" s="143"/>
      <c r="E9" s="143" t="str">
        <f>'Информация о Чемпионате'!B10</f>
        <v>nvkrivonosowa@mail.ru</v>
      </c>
      <c r="F9" s="143"/>
      <c r="G9" s="143" t="str">
        <f>'Информация о Чемпионате'!B11</f>
        <v>+7(952)385-42-25</v>
      </c>
      <c r="H9" s="143"/>
    </row>
    <row r="10" spans="1:8" ht="15.75" customHeight="1">
      <c r="A10" s="143" t="s">
        <v>34</v>
      </c>
      <c r="B10" s="143"/>
      <c r="C10" s="143" t="str">
        <f>'Информация о Чемпионате'!B12</f>
        <v xml:space="preserve">Андреев Михаил Дмитриевич </v>
      </c>
      <c r="D10" s="143"/>
      <c r="E10" s="143" t="str">
        <f>'Информация о Чемпионате'!B13</f>
        <v xml:space="preserve">andreev.mikhail.8b@gmail.com </v>
      </c>
      <c r="F10" s="143"/>
      <c r="G10" s="143" t="str">
        <f>'Информация о Чемпионате'!B14</f>
        <v>+79201595535</v>
      </c>
      <c r="H10" s="143"/>
    </row>
    <row r="11" spans="1:8" ht="15.75" customHeight="1">
      <c r="A11" s="143" t="s">
        <v>39</v>
      </c>
      <c r="B11" s="143"/>
      <c r="C11" s="143">
        <f>'Информация о Чемпионате'!B17</f>
        <v>13</v>
      </c>
      <c r="D11" s="143"/>
      <c r="E11" s="143"/>
      <c r="F11" s="143"/>
      <c r="G11" s="143"/>
      <c r="H11" s="143"/>
    </row>
    <row r="12" spans="1:8" ht="15.75">
      <c r="A12" s="143" t="s">
        <v>46</v>
      </c>
      <c r="B12" s="143"/>
      <c r="C12" s="143">
        <f>'Информация о Чемпионате'!B15</f>
        <v>10</v>
      </c>
      <c r="D12" s="143"/>
      <c r="E12" s="143"/>
      <c r="F12" s="143"/>
      <c r="G12" s="143"/>
      <c r="H12" s="143"/>
    </row>
    <row r="13" spans="1:8" ht="15.75">
      <c r="A13" s="143" t="s">
        <v>17</v>
      </c>
      <c r="B13" s="143"/>
      <c r="C13" s="143">
        <f>'Информация о Чемпионате'!B16</f>
        <v>10</v>
      </c>
      <c r="D13" s="143"/>
      <c r="E13" s="143"/>
      <c r="F13" s="143"/>
      <c r="G13" s="143"/>
      <c r="H13" s="143"/>
    </row>
    <row r="14" spans="1:8" ht="16.5" thickBot="1">
      <c r="A14" s="143" t="s">
        <v>25</v>
      </c>
      <c r="B14" s="143"/>
      <c r="C14" s="143" t="str">
        <f>'Информация о Чемпионате'!B8</f>
        <v>02 февраля 2026 года - 06 января 2026 года</v>
      </c>
      <c r="D14" s="143"/>
      <c r="E14" s="143"/>
      <c r="F14" s="143"/>
      <c r="G14" s="143"/>
      <c r="H14" s="143"/>
    </row>
    <row r="15" spans="1:8" ht="20.25">
      <c r="A15" s="170" t="s">
        <v>11</v>
      </c>
      <c r="B15" s="171"/>
      <c r="C15" s="171"/>
      <c r="D15" s="171"/>
      <c r="E15" s="171"/>
      <c r="F15" s="171"/>
      <c r="G15" s="171"/>
      <c r="H15" s="172"/>
    </row>
    <row r="16" spans="1:8" ht="60">
      <c r="A16" s="58" t="s">
        <v>6</v>
      </c>
      <c r="B16" s="19" t="s">
        <v>5</v>
      </c>
      <c r="C16" s="19" t="s">
        <v>4</v>
      </c>
      <c r="D16" s="19" t="s">
        <v>3</v>
      </c>
      <c r="E16" s="19" t="s">
        <v>2</v>
      </c>
      <c r="F16" s="19" t="s">
        <v>1</v>
      </c>
      <c r="G16" s="19" t="s">
        <v>0</v>
      </c>
      <c r="H16" s="59" t="s">
        <v>9</v>
      </c>
    </row>
    <row r="17" spans="1:8" customFormat="1" ht="14.25" customHeight="1">
      <c r="A17" s="60">
        <v>1</v>
      </c>
      <c r="B17" s="56" t="s">
        <v>63</v>
      </c>
      <c r="C17" s="56" t="s">
        <v>209</v>
      </c>
      <c r="D17" s="56" t="s">
        <v>64</v>
      </c>
      <c r="E17" s="25">
        <v>20</v>
      </c>
      <c r="F17" s="30" t="s">
        <v>207</v>
      </c>
      <c r="G17" s="25">
        <f>E17*$C$13</f>
        <v>200</v>
      </c>
      <c r="H17" s="61"/>
    </row>
    <row r="18" spans="1:8" customFormat="1" ht="14.25" customHeight="1">
      <c r="A18" s="60">
        <v>2</v>
      </c>
      <c r="B18" s="56" t="s">
        <v>208</v>
      </c>
      <c r="C18" s="56" t="s">
        <v>65</v>
      </c>
      <c r="D18" s="56" t="s">
        <v>64</v>
      </c>
      <c r="E18" s="25">
        <v>1</v>
      </c>
      <c r="F18" s="30" t="s">
        <v>207</v>
      </c>
      <c r="G18" s="25">
        <f t="shared" ref="G18:G19" si="0">E18*$C$13</f>
        <v>10</v>
      </c>
      <c r="H18" s="61"/>
    </row>
    <row r="19" spans="1:8" customFormat="1" ht="14.25" customHeight="1" thickBot="1">
      <c r="A19" s="71">
        <v>5</v>
      </c>
      <c r="B19" s="72" t="s">
        <v>206</v>
      </c>
      <c r="C19" s="72" t="s">
        <v>206</v>
      </c>
      <c r="D19" s="73" t="s">
        <v>64</v>
      </c>
      <c r="E19" s="33">
        <v>1</v>
      </c>
      <c r="F19" s="33" t="s">
        <v>207</v>
      </c>
      <c r="G19" s="74">
        <f t="shared" si="0"/>
        <v>10</v>
      </c>
      <c r="H19" s="75"/>
    </row>
    <row r="20" spans="1:8" ht="20.25">
      <c r="A20" s="167" t="s">
        <v>12</v>
      </c>
      <c r="B20" s="168"/>
      <c r="C20" s="168"/>
      <c r="D20" s="168"/>
      <c r="E20" s="168"/>
      <c r="F20" s="168"/>
      <c r="G20" s="168"/>
      <c r="H20" s="169"/>
    </row>
    <row r="21" spans="1:8" ht="60">
      <c r="A21" s="63" t="s">
        <v>6</v>
      </c>
      <c r="B21" s="20" t="s">
        <v>5</v>
      </c>
      <c r="C21" s="19" t="s">
        <v>4</v>
      </c>
      <c r="D21" s="20" t="s">
        <v>3</v>
      </c>
      <c r="E21" s="20" t="s">
        <v>2</v>
      </c>
      <c r="F21" s="20" t="s">
        <v>1</v>
      </c>
      <c r="G21" s="19" t="s">
        <v>0</v>
      </c>
      <c r="H21" s="59" t="s">
        <v>9</v>
      </c>
    </row>
    <row r="22" spans="1:8" customFormat="1" ht="14.25" customHeight="1">
      <c r="A22" s="64">
        <v>1</v>
      </c>
      <c r="B22" s="52" t="s">
        <v>63</v>
      </c>
      <c r="C22" s="52" t="s">
        <v>210</v>
      </c>
      <c r="D22" s="37" t="s">
        <v>64</v>
      </c>
      <c r="E22" s="53">
        <v>8</v>
      </c>
      <c r="F22" s="53" t="s">
        <v>55</v>
      </c>
      <c r="G22" s="53">
        <v>8</v>
      </c>
      <c r="H22" s="62"/>
    </row>
    <row r="23" spans="1:8" customFormat="1" ht="14.25" customHeight="1">
      <c r="A23" s="64">
        <v>2</v>
      </c>
      <c r="B23" s="54" t="s">
        <v>65</v>
      </c>
      <c r="C23" s="54" t="s">
        <v>65</v>
      </c>
      <c r="D23" s="37" t="s">
        <v>64</v>
      </c>
      <c r="E23" s="53">
        <v>14</v>
      </c>
      <c r="F23" s="53" t="s">
        <v>55</v>
      </c>
      <c r="G23" s="53">
        <v>14</v>
      </c>
      <c r="H23" s="62"/>
    </row>
    <row r="24" spans="1:8" customFormat="1" ht="14.25" customHeight="1">
      <c r="A24" s="64">
        <v>3</v>
      </c>
      <c r="B24" s="54" t="s">
        <v>211</v>
      </c>
      <c r="C24" s="54" t="s">
        <v>211</v>
      </c>
      <c r="D24" s="37" t="s">
        <v>64</v>
      </c>
      <c r="E24" s="32">
        <v>1</v>
      </c>
      <c r="F24" s="32" t="s">
        <v>55</v>
      </c>
      <c r="G24" s="32">
        <v>1</v>
      </c>
      <c r="H24" s="62"/>
    </row>
    <row r="25" spans="1:8" customFormat="1" ht="14.25" customHeight="1">
      <c r="A25" s="64">
        <v>4</v>
      </c>
      <c r="B25" s="54" t="s">
        <v>66</v>
      </c>
      <c r="C25" s="54" t="s">
        <v>66</v>
      </c>
      <c r="D25" s="37" t="s">
        <v>64</v>
      </c>
      <c r="E25" s="32">
        <v>1</v>
      </c>
      <c r="F25" s="32" t="s">
        <v>67</v>
      </c>
      <c r="G25" s="32">
        <v>1</v>
      </c>
      <c r="H25" s="62"/>
    </row>
    <row r="26" spans="1:8" customFormat="1" ht="14.25" customHeight="1">
      <c r="A26" s="64">
        <v>5</v>
      </c>
      <c r="B26" s="54" t="s">
        <v>212</v>
      </c>
      <c r="C26" s="54" t="s">
        <v>212</v>
      </c>
      <c r="D26" s="37" t="s">
        <v>64</v>
      </c>
      <c r="E26" s="32">
        <v>1</v>
      </c>
      <c r="F26" s="32" t="s">
        <v>55</v>
      </c>
      <c r="G26" s="32">
        <v>1</v>
      </c>
      <c r="H26" s="62"/>
    </row>
    <row r="27" spans="1:8" customFormat="1">
      <c r="A27" s="64">
        <v>6</v>
      </c>
      <c r="B27" s="54" t="s">
        <v>213</v>
      </c>
      <c r="C27" s="54" t="s">
        <v>213</v>
      </c>
      <c r="D27" s="37" t="s">
        <v>64</v>
      </c>
      <c r="E27" s="32">
        <v>1</v>
      </c>
      <c r="F27" s="32" t="s">
        <v>55</v>
      </c>
      <c r="G27" s="32">
        <v>1</v>
      </c>
      <c r="H27" s="62"/>
    </row>
    <row r="28" spans="1:8" customFormat="1" ht="14.25" customHeight="1">
      <c r="A28" s="64">
        <v>7</v>
      </c>
      <c r="B28" s="55" t="s">
        <v>214</v>
      </c>
      <c r="C28" s="54" t="s">
        <v>215</v>
      </c>
      <c r="D28" s="37" t="s">
        <v>64</v>
      </c>
      <c r="E28" s="32">
        <v>1</v>
      </c>
      <c r="F28" s="32" t="s">
        <v>216</v>
      </c>
      <c r="G28" s="32">
        <v>1</v>
      </c>
      <c r="H28" s="62"/>
    </row>
    <row r="29" spans="1:8" customFormat="1" ht="14.25" customHeight="1">
      <c r="A29" s="64">
        <v>8</v>
      </c>
      <c r="B29" s="55" t="s">
        <v>217</v>
      </c>
      <c r="C29" s="54" t="s">
        <v>218</v>
      </c>
      <c r="D29" s="37" t="s">
        <v>64</v>
      </c>
      <c r="E29" s="32">
        <v>1</v>
      </c>
      <c r="F29" s="32" t="s">
        <v>55</v>
      </c>
      <c r="G29" s="32">
        <v>1</v>
      </c>
      <c r="H29" s="62"/>
    </row>
    <row r="30" spans="1:8" customFormat="1" ht="14.25" customHeight="1">
      <c r="A30" s="64">
        <v>9</v>
      </c>
      <c r="B30" s="55" t="s">
        <v>219</v>
      </c>
      <c r="C30" s="54" t="s">
        <v>220</v>
      </c>
      <c r="D30" s="37" t="s">
        <v>64</v>
      </c>
      <c r="E30" s="32">
        <v>1</v>
      </c>
      <c r="F30" s="32" t="s">
        <v>221</v>
      </c>
      <c r="G30" s="32">
        <v>1</v>
      </c>
      <c r="H30" s="62"/>
    </row>
    <row r="31" spans="1:8" customFormat="1" ht="14.25" customHeight="1">
      <c r="A31" s="64">
        <v>10</v>
      </c>
      <c r="B31" s="55" t="s">
        <v>222</v>
      </c>
      <c r="C31" s="54" t="s">
        <v>223</v>
      </c>
      <c r="D31" s="37" t="s">
        <v>64</v>
      </c>
      <c r="E31" s="32">
        <v>5</v>
      </c>
      <c r="F31" s="32" t="s">
        <v>55</v>
      </c>
      <c r="G31" s="32">
        <v>5</v>
      </c>
      <c r="H31" s="62"/>
    </row>
    <row r="32" spans="1:8" customFormat="1" ht="14.25" customHeight="1" thickBot="1">
      <c r="A32" s="76">
        <v>11</v>
      </c>
      <c r="B32" s="77" t="s">
        <v>68</v>
      </c>
      <c r="C32" s="78" t="s">
        <v>56</v>
      </c>
      <c r="D32" s="39" t="s">
        <v>64</v>
      </c>
      <c r="E32" s="79">
        <v>100</v>
      </c>
      <c r="F32" s="79" t="s">
        <v>69</v>
      </c>
      <c r="G32" s="79">
        <v>1</v>
      </c>
      <c r="H32" s="80"/>
    </row>
    <row r="33" spans="1:8" ht="27.75" customHeight="1">
      <c r="A33" s="164" t="s">
        <v>7</v>
      </c>
      <c r="B33" s="165"/>
      <c r="C33" s="165"/>
      <c r="D33" s="165"/>
      <c r="E33" s="165"/>
      <c r="F33" s="165"/>
      <c r="G33" s="165"/>
      <c r="H33" s="166"/>
    </row>
    <row r="34" spans="1:8" ht="27.75" customHeight="1">
      <c r="A34" s="58" t="s">
        <v>6</v>
      </c>
      <c r="B34" s="19" t="s">
        <v>5</v>
      </c>
      <c r="C34" s="23" t="s">
        <v>4</v>
      </c>
      <c r="D34" s="19" t="s">
        <v>3</v>
      </c>
      <c r="E34" s="19" t="s">
        <v>2</v>
      </c>
      <c r="F34" s="19" t="s">
        <v>1</v>
      </c>
      <c r="G34" s="19" t="s">
        <v>0</v>
      </c>
      <c r="H34" s="59" t="s">
        <v>9</v>
      </c>
    </row>
    <row r="35" spans="1:8" ht="14.45" customHeight="1">
      <c r="A35" s="65">
        <v>1</v>
      </c>
      <c r="B35" s="24" t="s">
        <v>57</v>
      </c>
      <c r="C35" s="22" t="s">
        <v>58</v>
      </c>
      <c r="D35" s="20" t="s">
        <v>59</v>
      </c>
      <c r="E35" s="20">
        <v>3</v>
      </c>
      <c r="F35" s="20" t="s">
        <v>50</v>
      </c>
      <c r="G35" s="20">
        <f>E35</f>
        <v>3</v>
      </c>
      <c r="H35" s="66"/>
    </row>
    <row r="36" spans="1:8" ht="15.75" customHeight="1">
      <c r="A36" s="65">
        <v>2</v>
      </c>
      <c r="B36" s="24" t="s">
        <v>60</v>
      </c>
      <c r="C36" s="21" t="s">
        <v>61</v>
      </c>
      <c r="D36" s="20" t="s">
        <v>59</v>
      </c>
      <c r="E36" s="20">
        <v>3</v>
      </c>
      <c r="F36" s="20" t="s">
        <v>50</v>
      </c>
      <c r="G36" s="20">
        <f>E36</f>
        <v>3</v>
      </c>
      <c r="H36" s="66"/>
    </row>
    <row r="37" spans="1:8" ht="15.75" customHeight="1" thickBot="1">
      <c r="A37" s="67">
        <v>3</v>
      </c>
      <c r="B37" s="68" t="s">
        <v>62</v>
      </c>
      <c r="C37" s="69" t="s">
        <v>53</v>
      </c>
      <c r="D37" s="70" t="s">
        <v>59</v>
      </c>
      <c r="E37" s="70">
        <v>1</v>
      </c>
      <c r="F37" s="70" t="s">
        <v>50</v>
      </c>
      <c r="G37" s="70">
        <v>1</v>
      </c>
      <c r="H37" s="36"/>
    </row>
  </sheetData>
  <mergeCells count="30">
    <mergeCell ref="C12:H12"/>
    <mergeCell ref="A14:B14"/>
    <mergeCell ref="C14:H14"/>
    <mergeCell ref="A10:B10"/>
    <mergeCell ref="C10:D10"/>
    <mergeCell ref="E10:F10"/>
    <mergeCell ref="G10:H10"/>
    <mergeCell ref="A11:B11"/>
    <mergeCell ref="C11:H11"/>
    <mergeCell ref="A1:H1"/>
    <mergeCell ref="A2:H2"/>
    <mergeCell ref="A3:H3"/>
    <mergeCell ref="A6:B6"/>
    <mergeCell ref="C6:H6"/>
    <mergeCell ref="A33:H33"/>
    <mergeCell ref="A20:H20"/>
    <mergeCell ref="A4:H4"/>
    <mergeCell ref="A5:H5"/>
    <mergeCell ref="A15:H15"/>
    <mergeCell ref="A13:B13"/>
    <mergeCell ref="C13:H13"/>
    <mergeCell ref="A7:C7"/>
    <mergeCell ref="D7:H7"/>
    <mergeCell ref="A8:B8"/>
    <mergeCell ref="C8:H8"/>
    <mergeCell ref="A9:B9"/>
    <mergeCell ref="C9:D9"/>
    <mergeCell ref="E9:F9"/>
    <mergeCell ref="G9:H9"/>
    <mergeCell ref="A12:B12"/>
  </mergeCells>
  <pageMargins left="0.7" right="0.7" top="0.75" bottom="0.75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"/>
  <sheetViews>
    <sheetView zoomScale="87" zoomScaleNormal="87" workbookViewId="0">
      <selection sqref="A1:XFD1"/>
    </sheetView>
  </sheetViews>
  <sheetFormatPr defaultColWidth="14.42578125" defaultRowHeight="15"/>
  <cols>
    <col min="1" max="1" width="5.140625" style="1" customWidth="1"/>
    <col min="2" max="2" width="52" style="1" customWidth="1"/>
    <col min="3" max="3" width="27.42578125" style="1" customWidth="1"/>
    <col min="4" max="4" width="22" style="1" customWidth="1"/>
    <col min="5" max="5" width="15.42578125" style="1" customWidth="1"/>
    <col min="6" max="6" width="19.7109375" style="1" bestFit="1" customWidth="1"/>
    <col min="7" max="7" width="14.42578125" style="1" customWidth="1"/>
    <col min="8" max="9" width="8.7109375" style="1" customWidth="1"/>
    <col min="10" max="16384" width="14.42578125" style="1"/>
  </cols>
  <sheetData>
    <row r="1" spans="1:8" ht="20.25">
      <c r="A1" s="156" t="s">
        <v>29</v>
      </c>
      <c r="B1" s="156"/>
      <c r="C1" s="156"/>
      <c r="D1" s="156"/>
      <c r="E1" s="156"/>
      <c r="F1" s="156"/>
      <c r="G1" s="156"/>
      <c r="H1" s="12"/>
    </row>
    <row r="2" spans="1:8" ht="20.25">
      <c r="A2" s="158" t="str">
        <f>'Информация о Чемпионате'!B4</f>
        <v>Региональный этап чемпионат по профессиональному мастерству "Профессионалы" в 2026 г.</v>
      </c>
      <c r="B2" s="158"/>
      <c r="C2" s="158"/>
      <c r="D2" s="158"/>
      <c r="E2" s="158"/>
      <c r="F2" s="158"/>
      <c r="G2" s="158"/>
      <c r="H2" s="13"/>
    </row>
    <row r="3" spans="1:8" ht="20.25">
      <c r="A3" s="156" t="s">
        <v>30</v>
      </c>
      <c r="B3" s="156"/>
      <c r="C3" s="156"/>
      <c r="D3" s="156"/>
      <c r="E3" s="156"/>
      <c r="F3" s="156"/>
      <c r="G3" s="156"/>
      <c r="H3" s="12"/>
    </row>
    <row r="4" spans="1:8" ht="20.25">
      <c r="A4" s="175" t="str">
        <f>'Информация о Чемпионате'!B3</f>
        <v>Программные решения для бизнеса</v>
      </c>
      <c r="B4" s="175"/>
      <c r="C4" s="175"/>
      <c r="D4" s="175"/>
      <c r="E4" s="175"/>
      <c r="F4" s="175"/>
      <c r="G4" s="175"/>
      <c r="H4" s="14"/>
    </row>
    <row r="5" spans="1:8" ht="20.25">
      <c r="A5" s="173" t="s">
        <v>13</v>
      </c>
      <c r="B5" s="174"/>
      <c r="C5" s="174"/>
      <c r="D5" s="174"/>
      <c r="E5" s="174"/>
      <c r="F5" s="174"/>
      <c r="G5" s="174"/>
    </row>
    <row r="6" spans="1:8" ht="30">
      <c r="A6" s="2" t="s">
        <v>6</v>
      </c>
      <c r="B6" s="2" t="s">
        <v>5</v>
      </c>
      <c r="C6" s="3" t="s">
        <v>4</v>
      </c>
      <c r="D6" s="2" t="s">
        <v>3</v>
      </c>
      <c r="E6" s="2" t="s">
        <v>2</v>
      </c>
      <c r="F6" s="2" t="s">
        <v>1</v>
      </c>
      <c r="G6" s="2" t="s">
        <v>14</v>
      </c>
    </row>
    <row r="7" spans="1:8">
      <c r="A7" s="4">
        <v>1</v>
      </c>
      <c r="B7" s="17" t="s">
        <v>224</v>
      </c>
      <c r="C7" s="16"/>
      <c r="D7" s="18"/>
      <c r="E7" s="15"/>
      <c r="F7" s="15"/>
      <c r="G7" s="17"/>
    </row>
  </sheetData>
  <mergeCells count="5">
    <mergeCell ref="A5:G5"/>
    <mergeCell ref="A4:G4"/>
    <mergeCell ref="A1:G1"/>
    <mergeCell ref="A2:G2"/>
    <mergeCell ref="A3:G3"/>
  </mergeCell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Информация о Чемпионате</vt:lpstr>
      <vt:lpstr>Общая инфраструктура</vt:lpstr>
      <vt:lpstr>Рабочее место конкурсантов</vt:lpstr>
      <vt:lpstr>Расходные материалы</vt:lpstr>
      <vt:lpstr>Личный инструмент конкурсанта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Vector</dc:creator>
  <cp:lastModifiedBy>Георгий Резников</cp:lastModifiedBy>
  <dcterms:created xsi:type="dcterms:W3CDTF">2023-01-11T12:24:27Z</dcterms:created>
  <dcterms:modified xsi:type="dcterms:W3CDTF">2025-12-27T09:47:49Z</dcterms:modified>
</cp:coreProperties>
</file>